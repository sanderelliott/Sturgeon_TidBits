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umainesystem-my.sharepoint.com/personal/sander_elliott_maine_edu/Documents/Desktop/Github/Sturgeon_TidBits/OTN sheet/data/"/>
    </mc:Choice>
  </mc:AlternateContent>
  <xr:revisionPtr revIDLastSave="4" documentId="8_{3A23617F-0E80-4F5A-AA40-26B8AE21DACC}" xr6:coauthVersionLast="47" xr6:coauthVersionMax="47" xr10:uidLastSave="{FE796DF0-1486-429D-AADD-AB81581FEBFD}"/>
  <bookViews>
    <workbookView xWindow="45" yWindow="0" windowWidth="28530" windowHeight="15480" activeTab="1" xr2:uid="{4FF2E697-7981-4F89-9D0F-CBE43AA7EAF3}"/>
  </bookViews>
  <sheets>
    <sheet name="Data Dictionary" sheetId="1" r:id="rId1"/>
    <sheet name="Tag Metadata"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52" i="2" l="1"/>
  <c r="AI52" i="2"/>
  <c r="AH52" i="2"/>
  <c r="AR52" i="2" s="1"/>
  <c r="V52" i="2"/>
  <c r="E52" i="2"/>
  <c r="AJ51" i="2"/>
  <c r="AI51" i="2"/>
  <c r="AH51" i="2"/>
  <c r="AR51" i="2" s="1"/>
  <c r="V51" i="2"/>
  <c r="E51" i="2"/>
  <c r="AJ50" i="2"/>
  <c r="AI50" i="2"/>
  <c r="AH50" i="2"/>
  <c r="AR50" i="2" s="1"/>
  <c r="V50" i="2"/>
  <c r="E50" i="2"/>
  <c r="AJ49" i="2"/>
  <c r="AI49" i="2"/>
  <c r="AH49" i="2"/>
  <c r="AR49" i="2" s="1"/>
  <c r="V49" i="2"/>
  <c r="E49" i="2"/>
  <c r="AJ48" i="2"/>
  <c r="AI48" i="2"/>
  <c r="AH48" i="2"/>
  <c r="AR48" i="2" s="1"/>
  <c r="V48" i="2"/>
  <c r="E48" i="2"/>
  <c r="AJ47" i="2"/>
  <c r="AI47" i="2"/>
  <c r="AH47" i="2"/>
  <c r="AR47" i="2" s="1"/>
  <c r="V47" i="2"/>
  <c r="E47" i="2"/>
  <c r="AJ46" i="2"/>
  <c r="AI46" i="2"/>
  <c r="AH46" i="2"/>
  <c r="AR46" i="2" s="1"/>
  <c r="V46" i="2"/>
  <c r="E46" i="2"/>
  <c r="AJ45" i="2"/>
  <c r="AI45" i="2"/>
  <c r="AH45" i="2"/>
  <c r="AR45" i="2" s="1"/>
  <c r="V45" i="2"/>
  <c r="E45" i="2"/>
  <c r="AJ44" i="2"/>
  <c r="AI44" i="2"/>
  <c r="AH44" i="2"/>
  <c r="AR44" i="2" s="1"/>
  <c r="V44" i="2"/>
  <c r="E44" i="2"/>
  <c r="AJ43" i="2"/>
  <c r="AI43" i="2"/>
  <c r="AH43" i="2"/>
  <c r="AR43" i="2" s="1"/>
  <c r="V43" i="2"/>
  <c r="E43" i="2"/>
  <c r="AJ42" i="2"/>
  <c r="AI42" i="2"/>
  <c r="AH42" i="2"/>
  <c r="AR42" i="2" s="1"/>
  <c r="V42" i="2"/>
  <c r="E42" i="2"/>
  <c r="AJ41" i="2"/>
  <c r="AI41" i="2"/>
  <c r="AH41" i="2"/>
  <c r="AR41" i="2" s="1"/>
  <c r="V41" i="2"/>
  <c r="E41" i="2"/>
  <c r="AJ40" i="2"/>
  <c r="AI40" i="2"/>
  <c r="AH40" i="2"/>
  <c r="AR40" i="2" s="1"/>
  <c r="V40" i="2"/>
  <c r="E40" i="2"/>
  <c r="AJ39" i="2"/>
  <c r="AI39" i="2"/>
  <c r="AH39" i="2"/>
  <c r="AR39" i="2" s="1"/>
  <c r="V39" i="2"/>
  <c r="E39" i="2"/>
  <c r="AJ38" i="2"/>
  <c r="AI38" i="2"/>
  <c r="AH38" i="2"/>
  <c r="AR38" i="2" s="1"/>
  <c r="V38" i="2"/>
  <c r="E38" i="2"/>
  <c r="AJ37" i="2"/>
  <c r="AI37" i="2"/>
  <c r="AH37" i="2"/>
  <c r="AR37" i="2" s="1"/>
  <c r="V37" i="2"/>
  <c r="E37" i="2"/>
  <c r="AJ36" i="2"/>
  <c r="AI36" i="2"/>
  <c r="AH36" i="2"/>
  <c r="AR36" i="2" s="1"/>
  <c r="V36" i="2"/>
  <c r="E36" i="2"/>
  <c r="AJ35" i="2"/>
  <c r="AI35" i="2"/>
  <c r="AH35" i="2"/>
  <c r="AR35" i="2" s="1"/>
  <c r="V35" i="2"/>
  <c r="E35" i="2"/>
  <c r="AJ34" i="2"/>
  <c r="AI34" i="2"/>
  <c r="AH34" i="2"/>
  <c r="AR34" i="2" s="1"/>
  <c r="V34" i="2"/>
  <c r="E34" i="2"/>
  <c r="AJ33" i="2"/>
  <c r="AI33" i="2"/>
  <c r="AH33" i="2"/>
  <c r="AR33" i="2" s="1"/>
  <c r="V33" i="2"/>
  <c r="E33" i="2"/>
  <c r="AJ32" i="2"/>
  <c r="AI32" i="2"/>
  <c r="AH32" i="2"/>
  <c r="AR32" i="2" s="1"/>
  <c r="V32" i="2"/>
  <c r="E32" i="2"/>
  <c r="AJ31" i="2"/>
  <c r="AI31" i="2"/>
  <c r="AH31" i="2"/>
  <c r="AR31" i="2" s="1"/>
  <c r="V31" i="2"/>
  <c r="E31" i="2"/>
  <c r="AJ30" i="2"/>
  <c r="AI30" i="2"/>
  <c r="AH30" i="2"/>
  <c r="AR30" i="2" s="1"/>
  <c r="V30" i="2"/>
  <c r="E30" i="2"/>
  <c r="AJ29" i="2"/>
  <c r="AI29" i="2"/>
  <c r="AH29" i="2"/>
  <c r="AR29" i="2" s="1"/>
  <c r="V29" i="2"/>
  <c r="E29" i="2"/>
  <c r="AJ28" i="2"/>
  <c r="AI28" i="2"/>
  <c r="AH28" i="2"/>
  <c r="AR28" i="2" s="1"/>
  <c r="V28" i="2"/>
  <c r="E28" i="2"/>
  <c r="AJ27" i="2"/>
  <c r="AI27" i="2"/>
  <c r="AH27" i="2"/>
  <c r="AR27" i="2" s="1"/>
  <c r="V27" i="2"/>
  <c r="E27" i="2"/>
  <c r="AJ26" i="2"/>
  <c r="AI26" i="2"/>
  <c r="AH26" i="2"/>
  <c r="AR26" i="2" s="1"/>
  <c r="V26" i="2"/>
  <c r="E26" i="2"/>
  <c r="AJ25" i="2"/>
  <c r="AI25" i="2"/>
  <c r="AH25" i="2"/>
  <c r="AR25" i="2" s="1"/>
  <c r="V25" i="2"/>
  <c r="E25" i="2"/>
  <c r="AJ24" i="2"/>
  <c r="AI24" i="2"/>
  <c r="AH24" i="2"/>
  <c r="AR24" i="2" s="1"/>
  <c r="V24" i="2"/>
  <c r="E24" i="2"/>
  <c r="AJ23" i="2"/>
  <c r="AI23" i="2"/>
  <c r="AH23" i="2"/>
  <c r="AR23" i="2" s="1"/>
  <c r="V23" i="2"/>
  <c r="E23" i="2"/>
  <c r="AJ22" i="2"/>
  <c r="AI22" i="2"/>
  <c r="AH22" i="2"/>
  <c r="AR22" i="2" s="1"/>
  <c r="V22" i="2"/>
  <c r="E22" i="2"/>
  <c r="AJ21" i="2"/>
  <c r="AI21" i="2"/>
  <c r="AH21" i="2"/>
  <c r="AR21" i="2" s="1"/>
  <c r="V21" i="2"/>
  <c r="E21" i="2"/>
  <c r="AJ20" i="2"/>
  <c r="AI20" i="2"/>
  <c r="AH20" i="2"/>
  <c r="AR20" i="2" s="1"/>
  <c r="V20" i="2"/>
  <c r="E20" i="2"/>
  <c r="AJ19" i="2"/>
  <c r="AI19" i="2"/>
  <c r="AH19" i="2"/>
  <c r="AR19" i="2" s="1"/>
  <c r="V19" i="2"/>
  <c r="E19" i="2"/>
  <c r="AJ18" i="2"/>
  <c r="AI18" i="2"/>
  <c r="AH18" i="2"/>
  <c r="AR18" i="2" s="1"/>
  <c r="V18" i="2"/>
  <c r="E18" i="2"/>
  <c r="AJ17" i="2"/>
  <c r="AI17" i="2"/>
  <c r="AH17" i="2"/>
  <c r="AR17" i="2" s="1"/>
  <c r="V17" i="2"/>
  <c r="E17" i="2"/>
  <c r="AJ16" i="2"/>
  <c r="AI16" i="2"/>
  <c r="AH16" i="2"/>
  <c r="AR16" i="2" s="1"/>
  <c r="V16" i="2"/>
  <c r="E16" i="2"/>
  <c r="AR15" i="2"/>
  <c r="AJ15" i="2"/>
  <c r="AI15" i="2"/>
  <c r="AH15" i="2"/>
  <c r="V15" i="2"/>
  <c r="E15" i="2"/>
  <c r="AJ14" i="2"/>
  <c r="AI14" i="2"/>
  <c r="AH14" i="2"/>
  <c r="AR14" i="2" s="1"/>
  <c r="V14" i="2"/>
  <c r="E14" i="2"/>
  <c r="AJ13" i="2"/>
  <c r="AI13" i="2"/>
  <c r="AH13" i="2"/>
  <c r="AR13" i="2" s="1"/>
  <c r="V13" i="2"/>
  <c r="E13" i="2"/>
  <c r="AJ12" i="2"/>
  <c r="AI12" i="2"/>
  <c r="AH12" i="2"/>
  <c r="AR12" i="2" s="1"/>
  <c r="V12" i="2"/>
  <c r="E12" i="2"/>
  <c r="AJ11" i="2"/>
  <c r="AI11" i="2"/>
  <c r="AH11" i="2"/>
  <c r="AR11" i="2" s="1"/>
  <c r="V11" i="2"/>
  <c r="E11" i="2"/>
  <c r="AJ10" i="2"/>
  <c r="AI10" i="2"/>
  <c r="AH10" i="2"/>
  <c r="AR10" i="2" s="1"/>
  <c r="V10" i="2"/>
  <c r="E10" i="2"/>
  <c r="AJ9" i="2"/>
  <c r="AI9" i="2"/>
  <c r="AH9" i="2"/>
  <c r="AR9" i="2" s="1"/>
  <c r="V9" i="2"/>
  <c r="E9" i="2"/>
  <c r="AJ8" i="2"/>
  <c r="AI8" i="2"/>
  <c r="AH8" i="2"/>
  <c r="AR8" i="2" s="1"/>
  <c r="V8" i="2"/>
  <c r="E8" i="2"/>
  <c r="AJ7" i="2"/>
  <c r="AI7" i="2"/>
  <c r="AH7" i="2"/>
  <c r="AR7" i="2" s="1"/>
  <c r="V7" i="2"/>
  <c r="E7" i="2"/>
  <c r="AJ6" i="2"/>
  <c r="AI6" i="2"/>
  <c r="AH6" i="2"/>
  <c r="AR6" i="2" s="1"/>
  <c r="V6" i="2"/>
  <c r="E6" i="2"/>
  <c r="AJ5" i="2"/>
  <c r="AI5" i="2"/>
  <c r="AH5" i="2"/>
  <c r="AR5" i="2" s="1"/>
  <c r="V5" i="2"/>
  <c r="E5" i="2"/>
  <c r="AJ4" i="2"/>
  <c r="AI4" i="2"/>
  <c r="AH4" i="2"/>
  <c r="AR4" i="2" s="1"/>
  <c r="V4" i="2"/>
  <c r="E4" i="2"/>
  <c r="AJ3" i="2"/>
  <c r="AI3" i="2"/>
  <c r="AH3" i="2"/>
  <c r="AR3" i="2" s="1"/>
  <c r="V3" i="2"/>
  <c r="E3" i="2"/>
  <c r="AJ2" i="2"/>
  <c r="AI2" i="2"/>
  <c r="AH2" i="2"/>
  <c r="AR2" i="2" s="1"/>
  <c r="W2" i="2"/>
  <c r="V2" i="2"/>
</calcChain>
</file>

<file path=xl/sharedStrings.xml><?xml version="1.0" encoding="utf-8"?>
<sst xmlns="http://schemas.openxmlformats.org/spreadsheetml/2006/main" count="1506" uniqueCount="255">
  <si>
    <t>This data dictionary is to assist you in filling out/interpreting the fields on the tagging metadata data sheet. It need not be submitted with your data.</t>
  </si>
  <si>
    <t>All dates and times are to be recorded in UTC 24-hour format. All latitudes and longitudes should reference the WGS84 map datum. For help with this form, please contact the OTN Data Centre: otndc@Dal.Ca or 1-902-494-8470.</t>
  </si>
  <si>
    <t>Field Name</t>
  </si>
  <si>
    <t>Units/format example</t>
  </si>
  <si>
    <t>Definition</t>
  </si>
  <si>
    <t>ANIMAL_ID  (floy tag ID, pit tag code, etc.)</t>
  </si>
  <si>
    <t>format: free text, not otherwise specified</t>
  </si>
  <si>
    <t>Identification code that uniquely identifies each animal, as specified by the researcher. This can be a floy tag ID, pit tag ID, or other unique identifier.</t>
  </si>
  <si>
    <t>TAG_TYPE</t>
  </si>
  <si>
    <t>as in: acoustic</t>
  </si>
  <si>
    <t>Type of tag attached to animal. Some possible options are: acoustic tag, satellite tag, PIT tag, ID tag, brand, business card tag.</t>
  </si>
  <si>
    <t>TAG_MANUFACTURER</t>
  </si>
  <si>
    <t>as in: VEMCO</t>
  </si>
  <si>
    <t xml:space="preserve">Name of tag manufacturer. </t>
  </si>
  <si>
    <t>TAG_MODEL</t>
  </si>
  <si>
    <t>as in: V9-6L</t>
  </si>
  <si>
    <t>Tag model number as provided by the manufacturer.</t>
  </si>
  <si>
    <t>TAG_SERIAL_NUMBER</t>
  </si>
  <si>
    <t>as in: 1036912</t>
  </si>
  <si>
    <t>Serial number assigned by tag manufacturer to uniquely identify tag.</t>
  </si>
  <si>
    <t>TAG_ID_CODE</t>
  </si>
  <si>
    <t>as in: 1450</t>
  </si>
  <si>
    <t>In the case of an acoustic tag or Vemco mobile transceiver, this is the identification code transmitted by the tag, which is available from the tag manufacturer. For a satellite tag, it is the PTT code. For a VHF tag, this is the frequency at which the tag transmits.</t>
  </si>
  <si>
    <t>TAG_CODE_SPACE</t>
  </si>
  <si>
    <t>as in: A69-1303</t>
  </si>
  <si>
    <t>Code space as provided by the tag manufacturer.</t>
  </si>
  <si>
    <t>TAG_IMPLANT_TYPE</t>
  </si>
  <si>
    <t>as in: internal</t>
  </si>
  <si>
    <t>Indicates how tag was attached to animal (e.g. internal, external, oral, gastric, subcutaneous, etc.).</t>
  </si>
  <si>
    <t>TAG_IMPLANT_METHOD</t>
  </si>
  <si>
    <t>as in: inserted into abdominal cavity through midventral line incision, closed using 2 polydioxanone monofilament sutures.</t>
  </si>
  <si>
    <t>Describe method and materials used to attach tag to animal.</t>
  </si>
  <si>
    <t>TAG_ACTIVATION_DATE</t>
  </si>
  <si>
    <t>as in: 2007-04-23; format: yyyy-mm-dd</t>
  </si>
  <si>
    <t>Date tag activated, in UTC.</t>
  </si>
  <si>
    <t>EST_TAG_LIFE</t>
  </si>
  <si>
    <t>as in: 90 days</t>
  </si>
  <si>
    <t>Estimate of the duration of time during which the tag will be transmitting. For tags that are recovered, this is the number of days between release and recapture.</t>
  </si>
  <si>
    <t>TAGGER</t>
  </si>
  <si>
    <t>as in: Sue Smith</t>
  </si>
  <si>
    <t>First and last name of person conducting tagging. At this time, the database can only accept one name in this field.</t>
  </si>
  <si>
    <t>TAG_OWNER_PI</t>
  </si>
  <si>
    <t>First and last name of the Principal Investigator for the project. At this time, the database can only accept one name in this field.</t>
  </si>
  <si>
    <t>TAG_OWNER_ORGANIZATION</t>
  </si>
  <si>
    <t>as in: Sea Sleuths International</t>
  </si>
  <si>
    <t xml:space="preserve">Affiliation of the Principal Investigator for the project. </t>
  </si>
  <si>
    <t>COMMON_NAME_E</t>
  </si>
  <si>
    <t>as in: coho</t>
  </si>
  <si>
    <t>Common name of animal that carries the tag in English.</t>
  </si>
  <si>
    <t>SCIENTIFIC_NAME</t>
  </si>
  <si>
    <t>as in: Oncorhynchus kisutch</t>
  </si>
  <si>
    <t>Scientific name of animal that carries the tag.</t>
  </si>
  <si>
    <t>CAPTURE_LOCATION</t>
  </si>
  <si>
    <t>as in: Keogh River, Winter Harbor, St. Paul's Island, or Boutilier's Point</t>
  </si>
  <si>
    <t>Name of capture location. Please refer to a specific nearby point of land, town, island, or body of water that uniquely identifies this tagging location. For example, Gulf of Maine is too broad a region, but Winter Harbor would be appropriate.Okay to leave blank if same as release location.</t>
  </si>
  <si>
    <t>CAPTURE_LATITUDE</t>
  </si>
  <si>
    <t>as in: 43.12345; format: dd.ddddd; places: to 5 decimals</t>
  </si>
  <si>
    <r>
      <t xml:space="preserve">Latitude of capture location. Leave blank if same as release location. </t>
    </r>
    <r>
      <rPr>
        <i/>
        <sz val="10"/>
        <rFont val="Arial"/>
        <family val="2"/>
      </rPr>
      <t>Note: in the southern hemisphere all latitudes must be negative.</t>
    </r>
  </si>
  <si>
    <t>CAPTURE_LONGITUDE</t>
  </si>
  <si>
    <t>as in: -123.12345; format: ddd.ddddd; places: to 5 decimals</t>
  </si>
  <si>
    <r>
      <t xml:space="preserve">Longitude of capture location. Leave blank if same as release location. </t>
    </r>
    <r>
      <rPr>
        <i/>
        <sz val="10"/>
        <rFont val="Arial"/>
        <family val="2"/>
      </rPr>
      <t>Note: in the western hemisphere all longitudes must be negative.</t>
    </r>
  </si>
  <si>
    <t>WILD_OR_HATCHERY</t>
  </si>
  <si>
    <t>as in: W</t>
  </si>
  <si>
    <t>Origin of animal that carries the tag.  Enter W (wild), H (hatchery for hatchery reared or adipose clipped fish), or U (unknown)</t>
  </si>
  <si>
    <t>STOCK</t>
  </si>
  <si>
    <t>as in: Keogh River</t>
  </si>
  <si>
    <t>River of origin for fish. Water Body of origin for other species. Can enter unknown or not applicable.</t>
  </si>
  <si>
    <t>LENGTH (m)</t>
  </si>
  <si>
    <t>units: m; place: to 3 decimals</t>
  </si>
  <si>
    <t xml:space="preserve">Length of animal, depending on length type. </t>
  </si>
  <si>
    <t>WEIGHT (kg)</t>
  </si>
  <si>
    <t>units: kg; place: to 3 decimals</t>
  </si>
  <si>
    <t>Weight of animal that carries tag, in kilograms.</t>
  </si>
  <si>
    <t>LENGTH_TYPE</t>
  </si>
  <si>
    <t>as in: Fork</t>
  </si>
  <si>
    <t>Specify type of length recorded (e.g. hood length, fork length, standard length, etc.).</t>
  </si>
  <si>
    <t>LENGTH2 (m)</t>
  </si>
  <si>
    <t>Secondary length measurement.</t>
  </si>
  <si>
    <t>LENGTH2_TYPE</t>
  </si>
  <si>
    <t>as in: Width</t>
  </si>
  <si>
    <t>Specify type of secondary size measurement (e.g. width)</t>
  </si>
  <si>
    <t>LIFE_STAGE</t>
  </si>
  <si>
    <t>as in: juvenile</t>
  </si>
  <si>
    <t>Life stage of animal. This will depend on the species being studied and can be a standard code used for that species, a description, or both.</t>
  </si>
  <si>
    <t>AGE</t>
  </si>
  <si>
    <t>as in: 7; format: numeric</t>
  </si>
  <si>
    <t>Age of animal. Enter unknown if age not known.</t>
  </si>
  <si>
    <t>AGE_UNITS</t>
  </si>
  <si>
    <t>as in: months</t>
  </si>
  <si>
    <t>Specify units used in AGE field. Leave blank if age unknown.</t>
  </si>
  <si>
    <t>SEX</t>
  </si>
  <si>
    <t>as in: M</t>
  </si>
  <si>
    <t>Sex of animal. M, F or H. Can enter unknown (U).</t>
  </si>
  <si>
    <t>DNA_SAMPLE_TAKEN</t>
  </si>
  <si>
    <t>as in: yes</t>
  </si>
  <si>
    <t>Yes/no, if the animal that carries the acoustic tag is also sampled for DNA.</t>
  </si>
  <si>
    <t>TREATMENT_TYPE</t>
  </si>
  <si>
    <t>Contains a designation of treatment group as appropriate for the particular study. Researchers will have to contact the authors directly for definitions. Try to make these as clear as possible (e.g. use Control instead of C, Lake release instead of Lake).</t>
  </si>
  <si>
    <t>RELEASE_GROUP</t>
  </si>
  <si>
    <t>as in: 1</t>
  </si>
  <si>
    <t>Numerical field that increments sequentially for each release date.</t>
  </si>
  <si>
    <t>RELEASE_LOCATION</t>
  </si>
  <si>
    <t>Name of release location. Please refer to a specific nearby point of land, town, island, or body of water that uniquely identifies this tagging location. For example, Gulf of Maine is too broad a region, but Winter Harbor would be appropriate.</t>
  </si>
  <si>
    <t>RELEASE_LATITUDE</t>
  </si>
  <si>
    <r>
      <t xml:space="preserve">Latitude of release location. </t>
    </r>
    <r>
      <rPr>
        <i/>
        <sz val="10"/>
        <rFont val="Arial"/>
        <family val="2"/>
      </rPr>
      <t>Note: in the southern hemisphere all latitudes must be negative.</t>
    </r>
  </si>
  <si>
    <t>RELEASE_LONGITUDE</t>
  </si>
  <si>
    <r>
      <t xml:space="preserve">Longitude of release location. </t>
    </r>
    <r>
      <rPr>
        <i/>
        <sz val="10"/>
        <rFont val="Arial"/>
        <family val="2"/>
      </rPr>
      <t>Note: in the western hemisphere all longitudes must be negative.</t>
    </r>
  </si>
  <si>
    <t>UTC_RELEASE_DATE_TIME</t>
  </si>
  <si>
    <t>as in: 2009-05-17T14:12:00; format: yyyy-mm-ddThh:mm:ss</t>
  </si>
  <si>
    <t>Date and time that tagged animal was released, in UTC.</t>
  </si>
  <si>
    <t>HARVEST_DATE</t>
  </si>
  <si>
    <t>as in: 2009-05-17; format: yyyy-mm-ddThh:mm:ss</t>
  </si>
  <si>
    <t>Date that the tag was recovered from a captured animal, in UTC. example: if a fish is caught and the tag returned to the researcher. Note this is the date the previously released animal was recaptured. It will affect the enddate of the previous release as well as the estimated tag life for this release.</t>
  </si>
  <si>
    <t>CAPTURE_DEPTH</t>
  </si>
  <si>
    <t>as in: 200</t>
  </si>
  <si>
    <t>Water depth where the fish were caught, in metres.</t>
  </si>
  <si>
    <t>TEMPERATURE_CHANGE</t>
  </si>
  <si>
    <t>as in: 20.0; places: to 1 decimal</t>
  </si>
  <si>
    <t>Difference between the water temperature at the depth at which the fish were caught and the surface water temperature, in degrees celsius.</t>
  </si>
  <si>
    <t>HOLDING_TEMPERATURE</t>
  </si>
  <si>
    <t>as in: 10.3; places: to 1 decimal</t>
  </si>
  <si>
    <t>This measure is the highest or lowest water bath temperature the fish will experience during holding (depends if surgical water temperatures are increasing or decreasing relative to initial water temperature reading). For example, if tagging is being conducted in early summer, the recirculating bath is 10.2 degrees, and the sedation bath is 10.0 degrees, then the higher value would be recorded to one decimal place ( i.e. 10.2°C).</t>
  </si>
  <si>
    <t>PREOP_HOLDING_PERIOD</t>
  </si>
  <si>
    <t>as in: 2 hours</t>
  </si>
  <si>
    <t>Time that animal is held prior to surgery, in hours.</t>
  </si>
  <si>
    <t>POST_OP_HOLDING_PERIOD</t>
  </si>
  <si>
    <t>as in: 48 hours</t>
  </si>
  <si>
    <t>Time the animal is held after surgery until release, in hours.</t>
  </si>
  <si>
    <t>SURGERY_LOCATION</t>
  </si>
  <si>
    <t>as in: Keogh River fence</t>
  </si>
  <si>
    <t>Short name of surgery location (i.e. hatchery name).</t>
  </si>
  <si>
    <t>DATE_OF_SURGERY</t>
  </si>
  <si>
    <t>Date that surgery was conducted, in UTC.</t>
  </si>
  <si>
    <t>SURGERY_LATITUDE</t>
  </si>
  <si>
    <r>
      <t xml:space="preserve">Latitude of surgery location. </t>
    </r>
    <r>
      <rPr>
        <i/>
        <sz val="10"/>
        <rFont val="Arial"/>
        <family val="2"/>
      </rPr>
      <t>Note: in the southern hemisphere all latitudes must be negative.</t>
    </r>
  </si>
  <si>
    <t>SURGERY_LONGITUDE</t>
  </si>
  <si>
    <r>
      <t xml:space="preserve">Longitude of surgery location. </t>
    </r>
    <r>
      <rPr>
        <i/>
        <sz val="10"/>
        <rFont val="Arial"/>
        <family val="2"/>
      </rPr>
      <t>Note: in the western hemisphere all longitudes must be negative.</t>
    </r>
  </si>
  <si>
    <t>SEDATIVE</t>
  </si>
  <si>
    <t>as in: aquacalm</t>
  </si>
  <si>
    <t>Name of sedative used if applicable.</t>
  </si>
  <si>
    <t>SEDATIVE_CONCENTRATION</t>
  </si>
  <si>
    <t>units: ppm; place: to 1 decimal</t>
  </si>
  <si>
    <t>Concentration of sedative.</t>
  </si>
  <si>
    <t>ANAESTHETIC</t>
  </si>
  <si>
    <t>as in: Tricaine methanesulfonate</t>
  </si>
  <si>
    <t>Name of anaesthetic used if applicable.</t>
  </si>
  <si>
    <t>BUFFER</t>
  </si>
  <si>
    <t>as in: Sodium bicarbonate</t>
  </si>
  <si>
    <t>Name of buffer used if applicable.</t>
  </si>
  <si>
    <t>ANAESTHETIC_CONCENTRATION</t>
  </si>
  <si>
    <t>Concentration of anaesthetic.</t>
  </si>
  <si>
    <t>BUFFER_CONCENTRATION_IN_ANAESTHETIC</t>
  </si>
  <si>
    <t>Concentration of buffer in anaesthetic.</t>
  </si>
  <si>
    <t>ANESTHETIC_CONCENTRATION_IN_RECIRCULATION</t>
  </si>
  <si>
    <t>Concentration of anaesthetic in recirculation bath.</t>
  </si>
  <si>
    <t>BUFFER_CONCENTRATION_IN_RECIRCULATION</t>
  </si>
  <si>
    <t>Concentration of buffer in recirculation bath.</t>
  </si>
  <si>
    <t>DISSOLVED_OXYGEN (ppm)</t>
  </si>
  <si>
    <t>Oxygen levels are of concern (we are mainly concerned with low levels unless pure oxygen is being used to aerate the water).  This measure is the lowest oxygen level the fish will experience during the surgery. For example, if using regular fish pumps for air, the recirculating bath is 7.1 ppm, and the sedation bath is 8.8 ppm, the lower value would be recorded to one decimal place (i.e. 7.1 ppm).</t>
  </si>
  <si>
    <t>COMMENTS</t>
  </si>
  <si>
    <t>as in: fish was exposed to aluminum during surgical procedure</t>
  </si>
  <si>
    <t>Any comments deemed to have scientific relevance by the tagger.</t>
  </si>
  <si>
    <t>ANIMAL_ID   (floy tag ID, pit tag code, etc.)</t>
  </si>
  <si>
    <t>CAPTURE_DEPTH (m)</t>
  </si>
  <si>
    <t>TEMPERATURE_CHANGE (degrees C)</t>
  </si>
  <si>
    <t>HOLDING_TEMPERATURE (degrees C)</t>
  </si>
  <si>
    <t>PREOP_HOLD_PERIOD</t>
  </si>
  <si>
    <t>POSTOP_HOLD_PERIOD</t>
  </si>
  <si>
    <t>SEDATIVE_CONCENTRATION (ppm)</t>
  </si>
  <si>
    <t>ANAESTHETIC_CONCENTRATION (ppm)</t>
  </si>
  <si>
    <t>BUFFER_CONCENTRATION_IN_ANAESTHETIC (ppm)</t>
  </si>
  <si>
    <t>ANAESTHETIC_CONCENTRATION_IN_RECIRCULATION (ppm)</t>
  </si>
  <si>
    <t>BUFFER_CONCENTRATION_IN_RECIRCULATION (ppm)</t>
  </si>
  <si>
    <t>Acoustic</t>
  </si>
  <si>
    <t>VEMCO</t>
  </si>
  <si>
    <t>INTERNAL</t>
  </si>
  <si>
    <t>Midventral line incision, sutures</t>
  </si>
  <si>
    <t>Gayle Zydlewski</t>
  </si>
  <si>
    <t>Universtiy of Maine</t>
  </si>
  <si>
    <t>Shortnose Sturgeon</t>
  </si>
  <si>
    <t>Acipenser brevirostrum</t>
  </si>
  <si>
    <t>Penobscot River</t>
  </si>
  <si>
    <t>W</t>
  </si>
  <si>
    <t>NA</t>
  </si>
  <si>
    <t>FORK</t>
  </si>
  <si>
    <t>Unknown</t>
  </si>
  <si>
    <t>Yes</t>
  </si>
  <si>
    <t>TRICAINE METHANESULFONATE</t>
  </si>
  <si>
    <t>SODIUM BICARBONATE</t>
  </si>
  <si>
    <t>V16T-4x</t>
  </si>
  <si>
    <t>A69-9002</t>
  </si>
  <si>
    <t>2427 days</t>
  </si>
  <si>
    <t>U</t>
  </si>
  <si>
    <t>Atlantic Sturgeon</t>
  </si>
  <si>
    <t>Acipenser oxyrinchus</t>
  </si>
  <si>
    <t>Joe Zydlewski</t>
  </si>
  <si>
    <t>3DD.003BEF357E</t>
  </si>
  <si>
    <t>3DD.003E185F8D</t>
  </si>
  <si>
    <t>V16-4x-BLU-1</t>
  </si>
  <si>
    <t>A69-2801</t>
  </si>
  <si>
    <t>2560 days</t>
  </si>
  <si>
    <t>Joe Zydlewski /  Sander Elliott</t>
  </si>
  <si>
    <t>USGS Maine CFWRU</t>
  </si>
  <si>
    <t>Kennebec River</t>
  </si>
  <si>
    <t>3DD.003E185F8F</t>
  </si>
  <si>
    <t>3DD.003E185F76</t>
  </si>
  <si>
    <t>3DD.003E185F77</t>
  </si>
  <si>
    <t>3DD.003E185F92</t>
  </si>
  <si>
    <t>3DD.003E185F8C</t>
  </si>
  <si>
    <t>3DD.003E185F93</t>
  </si>
  <si>
    <t>3DD.003E185F95</t>
  </si>
  <si>
    <t>M</t>
  </si>
  <si>
    <t>3DD.003E185F86</t>
  </si>
  <si>
    <t>3D9.257C65BA2C</t>
  </si>
  <si>
    <t>3DD.003E185F78</t>
  </si>
  <si>
    <t>3DD.003E185F88</t>
  </si>
  <si>
    <t>3DD.003E185F8E</t>
  </si>
  <si>
    <t>3DD.003E185F74</t>
  </si>
  <si>
    <t>3DD.003E185F89</t>
  </si>
  <si>
    <t>3DD.003E185F94</t>
  </si>
  <si>
    <t>3DD.003E185F7F</t>
  </si>
  <si>
    <t>3DD.003E185F90</t>
  </si>
  <si>
    <t>3DD.003E185F91</t>
  </si>
  <si>
    <t>3DD.003E185F6C</t>
  </si>
  <si>
    <t>3DD.003E185F87</t>
  </si>
  <si>
    <t>3DD.003E185F68</t>
  </si>
  <si>
    <t>3DD.003E185F85</t>
  </si>
  <si>
    <t>3DD.003E185F81</t>
  </si>
  <si>
    <t>3DD.003E185F7A</t>
  </si>
  <si>
    <t>3DD.003E185F83</t>
  </si>
  <si>
    <t>3DD.003E185F7C</t>
  </si>
  <si>
    <t>3DD.003E185F8A</t>
  </si>
  <si>
    <t>3DD.003E185F8B</t>
  </si>
  <si>
    <t>3D9.1C2D6CC918</t>
  </si>
  <si>
    <t>3DD.003D99263F</t>
  </si>
  <si>
    <t>3DD.003E185F7B</t>
  </si>
  <si>
    <t>3DD.003E185F66</t>
  </si>
  <si>
    <t>3DD.003E185F82</t>
  </si>
  <si>
    <t>3DD.003BEF3671</t>
  </si>
  <si>
    <t>3DD.003E185F6E</t>
  </si>
  <si>
    <t>3D9.1C2D7E000E</t>
  </si>
  <si>
    <t>3DD.003E185F58</t>
  </si>
  <si>
    <t>3DD.003E185F6B</t>
  </si>
  <si>
    <t>3DD.003E185F73</t>
  </si>
  <si>
    <t>3DD.003E185F6D</t>
  </si>
  <si>
    <t>3DD.003E185F53</t>
  </si>
  <si>
    <t>3DD.003BEF3727</t>
  </si>
  <si>
    <t>3DD.003E185F67</t>
  </si>
  <si>
    <t>3DD.003E185F84</t>
  </si>
  <si>
    <t>3DD.003E185F64</t>
  </si>
  <si>
    <t>3DD.003E185F5A</t>
  </si>
  <si>
    <t>3D9.1BF14AF288</t>
  </si>
  <si>
    <t>3DD.003E185F57</t>
  </si>
  <si>
    <t>3DD.003E185F39</t>
  </si>
  <si>
    <t>Adult/Subadult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</si>
</sst>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mm\-yy;@"/>
    <numFmt numFmtId="165" formatCode="0.0"/>
    <numFmt numFmtId="166" formatCode="[$-409]d\-mmm\-yy;@"/>
    <numFmt numFmtId="167" formatCode="0.0000"/>
    <numFmt numFmtId="168" formatCode="m/d/yyyy;@"/>
    <numFmt numFmtId="169" formatCode="yyyy/mm/dd\Thh:mm:ss"/>
    <numFmt numFmtId="170" formatCode="yyyy\-mm\-dd"/>
  </numFmts>
  <fonts count="11" x14ac:knownFonts="1">
    <font>
      <sz val="11"/>
      <color theme="1"/>
      <name val="Calibri"/>
      <family val="2"/>
      <scheme val="minor"/>
    </font>
    <font>
      <b/>
      <sz val="11"/>
      <color theme="1"/>
      <name val="Calibri"/>
      <family val="2"/>
      <scheme val="minor"/>
    </font>
    <font>
      <b/>
      <sz val="10"/>
      <name val="Arial"/>
      <family val="2"/>
    </font>
    <font>
      <sz val="10"/>
      <name val="Arial"/>
      <family val="2"/>
    </font>
    <font>
      <i/>
      <sz val="10"/>
      <name val="Arial"/>
      <family val="2"/>
    </font>
    <font>
      <b/>
      <sz val="8"/>
      <color theme="1"/>
      <name val="Arial"/>
      <family val="2"/>
    </font>
    <font>
      <b/>
      <sz val="8"/>
      <name val="Arial"/>
      <family val="2"/>
    </font>
    <font>
      <b/>
      <i/>
      <sz val="8"/>
      <name val="Arial"/>
      <family val="2"/>
    </font>
    <font>
      <sz val="10"/>
      <color theme="1"/>
      <name val="Arial"/>
      <family val="2"/>
    </font>
    <font>
      <sz val="8"/>
      <color theme="1"/>
      <name val="Arial"/>
      <family val="2"/>
    </font>
    <font>
      <sz val="8"/>
      <name val="Arial"/>
      <family val="2"/>
    </font>
  </fonts>
  <fills count="4">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6">
    <xf numFmtId="0" fontId="0" fillId="0" borderId="0" xfId="0"/>
    <xf numFmtId="0" fontId="2" fillId="0" borderId="1" xfId="0" applyFont="1" applyBorder="1"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vertical="center"/>
    </xf>
    <xf numFmtId="1" fontId="2" fillId="2" borderId="1" xfId="0" applyNumberFormat="1" applyFont="1" applyFill="1" applyBorder="1" applyAlignment="1">
      <alignment horizontal="left" vertical="center" wrapText="1"/>
    </xf>
    <xf numFmtId="164" fontId="3" fillId="0" borderId="1" xfId="0" applyNumberFormat="1" applyFont="1" applyBorder="1" applyAlignment="1">
      <alignment vertical="center"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165" fontId="3" fillId="0" borderId="1" xfId="0" applyNumberFormat="1" applyFont="1" applyBorder="1" applyAlignment="1">
      <alignment vertical="center" wrapText="1"/>
    </xf>
    <xf numFmtId="15" fontId="2" fillId="2" borderId="1" xfId="0" applyNumberFormat="1" applyFont="1" applyFill="1" applyBorder="1" applyAlignment="1">
      <alignment horizontal="left" vertical="center" wrapText="1"/>
    </xf>
    <xf numFmtId="15" fontId="3" fillId="0" borderId="1" xfId="0" applyNumberFormat="1" applyFont="1" applyBorder="1" applyAlignment="1">
      <alignment horizontal="left" vertical="center" wrapText="1"/>
    </xf>
    <xf numFmtId="166" fontId="3" fillId="0" borderId="1" xfId="0" applyNumberFormat="1" applyFont="1" applyBorder="1" applyAlignment="1">
      <alignment horizontal="left" vertical="center" wrapText="1"/>
    </xf>
    <xf numFmtId="166" fontId="2" fillId="2" borderId="1" xfId="0" applyNumberFormat="1" applyFont="1" applyFill="1" applyBorder="1" applyAlignment="1">
      <alignment horizontal="left" vertical="center" wrapText="1"/>
    </xf>
    <xf numFmtId="165" fontId="3" fillId="0" borderId="1" xfId="0" applyNumberFormat="1" applyFont="1" applyBorder="1" applyAlignment="1">
      <alignment horizontal="left" vertical="center" wrapText="1"/>
    </xf>
    <xf numFmtId="165" fontId="2" fillId="2" borderId="1" xfId="0" applyNumberFormat="1" applyFont="1" applyFill="1" applyBorder="1" applyAlignment="1">
      <alignment horizontal="left" vertical="center" wrapText="1"/>
    </xf>
    <xf numFmtId="167" fontId="3" fillId="0" borderId="1" xfId="0" applyNumberFormat="1" applyFont="1" applyBorder="1" applyAlignment="1">
      <alignment horizontal="left" vertical="center" wrapText="1"/>
    </xf>
    <xf numFmtId="167" fontId="2" fillId="2" borderId="1" xfId="0" applyNumberFormat="1" applyFont="1" applyFill="1" applyBorder="1" applyAlignment="1">
      <alignment horizontal="left" vertical="center" wrapText="1"/>
    </xf>
    <xf numFmtId="1" fontId="3" fillId="0" borderId="1" xfId="0" applyNumberFormat="1" applyFont="1" applyBorder="1" applyAlignment="1">
      <alignment vertical="center" wrapText="1"/>
    </xf>
    <xf numFmtId="168" fontId="3" fillId="0" borderId="1"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5" fillId="0" borderId="0" xfId="0" applyFont="1" applyAlignment="1">
      <alignment horizontal="center" vertical="center" textRotation="90" wrapText="1"/>
    </xf>
    <xf numFmtId="0" fontId="5" fillId="2" borderId="0" xfId="0" applyFont="1" applyFill="1" applyAlignment="1">
      <alignment horizontal="center" vertical="center" textRotation="90"/>
    </xf>
    <xf numFmtId="0" fontId="6" fillId="2" borderId="0" xfId="0" applyFont="1" applyFill="1" applyAlignment="1">
      <alignment horizontal="center" vertical="center" textRotation="90" wrapText="1"/>
    </xf>
    <xf numFmtId="0" fontId="6" fillId="0" borderId="0" xfId="0" applyFont="1" applyAlignment="1">
      <alignment horizontal="center" vertical="center" textRotation="90" wrapText="1"/>
    </xf>
    <xf numFmtId="166" fontId="6" fillId="0" borderId="0" xfId="0" applyNumberFormat="1" applyFont="1" applyAlignment="1">
      <alignment horizontal="center" vertical="center" textRotation="90" wrapText="1"/>
    </xf>
    <xf numFmtId="166" fontId="6" fillId="2" borderId="0" xfId="0" applyNumberFormat="1" applyFont="1" applyFill="1" applyAlignment="1">
      <alignment horizontal="center" vertical="center" textRotation="90" wrapText="1"/>
    </xf>
    <xf numFmtId="15" fontId="6" fillId="2" borderId="0" xfId="0" applyNumberFormat="1" applyFont="1" applyFill="1" applyAlignment="1">
      <alignment horizontal="center" vertical="center" textRotation="90" wrapText="1"/>
    </xf>
    <xf numFmtId="165" fontId="6" fillId="2" borderId="0" xfId="0" applyNumberFormat="1" applyFont="1" applyFill="1" applyAlignment="1">
      <alignment horizontal="center" vertical="center" textRotation="90" wrapText="1"/>
    </xf>
    <xf numFmtId="167" fontId="6" fillId="0" borderId="0" xfId="0" applyNumberFormat="1" applyFont="1" applyAlignment="1">
      <alignment horizontal="center" vertical="center" textRotation="90" wrapText="1"/>
    </xf>
    <xf numFmtId="169" fontId="6" fillId="2" borderId="0" xfId="0" applyNumberFormat="1" applyFont="1" applyFill="1" applyAlignment="1">
      <alignment horizontal="center" vertical="center" textRotation="90" wrapText="1"/>
    </xf>
    <xf numFmtId="14" fontId="6" fillId="2" borderId="0" xfId="0" applyNumberFormat="1" applyFont="1" applyFill="1" applyAlignment="1">
      <alignment horizontal="center" vertical="center" textRotation="90" wrapText="1"/>
    </xf>
    <xf numFmtId="168" fontId="6" fillId="0" borderId="0" xfId="0" applyNumberFormat="1" applyFont="1" applyAlignment="1">
      <alignment horizontal="center" vertical="center" textRotation="90" wrapText="1"/>
    </xf>
    <xf numFmtId="165" fontId="6" fillId="0" borderId="0" xfId="0" applyNumberFormat="1" applyFont="1" applyAlignment="1">
      <alignment horizontal="center" vertical="center" textRotation="90" wrapText="1"/>
    </xf>
    <xf numFmtId="49" fontId="6" fillId="0" borderId="0" xfId="0" applyNumberFormat="1" applyFont="1" applyAlignment="1">
      <alignment horizontal="center" vertical="center" textRotation="90" wrapText="1"/>
    </xf>
    <xf numFmtId="1" fontId="6" fillId="0" borderId="0" xfId="0" applyNumberFormat="1" applyFont="1" applyAlignment="1">
      <alignment horizontal="center" vertical="center" textRotation="90" wrapText="1"/>
    </xf>
    <xf numFmtId="1" fontId="7" fillId="0" borderId="0" xfId="0" applyNumberFormat="1" applyFont="1" applyAlignment="1">
      <alignment horizontal="center" vertical="center" textRotation="90" wrapText="1"/>
    </xf>
    <xf numFmtId="0" fontId="7" fillId="0" borderId="0" xfId="0" applyFont="1" applyAlignment="1">
      <alignment horizontal="center" vertical="center" textRotation="90" wrapText="1"/>
    </xf>
    <xf numFmtId="0" fontId="8" fillId="0" borderId="2" xfId="0" applyFont="1" applyBorder="1" applyAlignment="1">
      <alignment wrapText="1"/>
    </xf>
    <xf numFmtId="0" fontId="9" fillId="3" borderId="0" xfId="0" applyFont="1" applyFill="1" applyAlignment="1" applyProtection="1">
      <alignment horizontal="center" vertical="center" wrapText="1"/>
      <protection locked="0"/>
    </xf>
    <xf numFmtId="1" fontId="10" fillId="3" borderId="0" xfId="0" applyNumberFormat="1" applyFont="1" applyFill="1" applyAlignment="1" applyProtection="1">
      <alignment horizontal="center" vertical="center" wrapText="1"/>
      <protection locked="0"/>
    </xf>
    <xf numFmtId="0" fontId="10" fillId="3" borderId="0" xfId="0" applyFont="1" applyFill="1" applyAlignment="1" applyProtection="1">
      <alignment horizontal="center" vertical="center" wrapText="1"/>
      <protection locked="0"/>
    </xf>
    <xf numFmtId="0" fontId="8" fillId="0" borderId="2" xfId="0" applyFont="1" applyBorder="1" applyAlignment="1">
      <alignment horizontal="right" wrapText="1"/>
    </xf>
    <xf numFmtId="170" fontId="8" fillId="0" borderId="2" xfId="0" applyNumberFormat="1" applyFont="1" applyBorder="1" applyAlignment="1">
      <alignment horizontal="right" wrapText="1"/>
    </xf>
    <xf numFmtId="165" fontId="10" fillId="3" borderId="0" xfId="0" applyNumberFormat="1" applyFont="1" applyFill="1" applyAlignment="1" applyProtection="1">
      <alignment horizontal="center" vertical="center" wrapText="1"/>
      <protection locked="0"/>
    </xf>
    <xf numFmtId="169" fontId="8" fillId="0" borderId="2" xfId="0" applyNumberFormat="1" applyFont="1" applyBorder="1" applyAlignment="1">
      <alignment horizontal="right" wrapText="1"/>
    </xf>
    <xf numFmtId="0" fontId="9" fillId="0" borderId="0" xfId="0" applyFont="1" applyAlignment="1" applyProtection="1">
      <alignment horizontal="center" vertical="center" wrapText="1"/>
      <protection locked="0"/>
    </xf>
    <xf numFmtId="14" fontId="9" fillId="0" borderId="0" xfId="0" applyNumberFormat="1" applyFont="1" applyAlignment="1" applyProtection="1">
      <alignment horizontal="center" vertical="center" wrapText="1"/>
      <protection locked="0"/>
    </xf>
    <xf numFmtId="169" fontId="0" fillId="0" borderId="0" xfId="0" applyNumberFormat="1"/>
    <xf numFmtId="0" fontId="8" fillId="0" borderId="2" xfId="0" applyFont="1" applyBorder="1" applyAlignment="1">
      <alignment horizontal="center" wrapText="1"/>
    </xf>
    <xf numFmtId="169" fontId="9" fillId="0" borderId="0" xfId="0" applyNumberFormat="1" applyFont="1" applyAlignment="1" applyProtection="1">
      <alignment horizontal="center" vertical="center" wrapText="1"/>
      <protection locked="0"/>
    </xf>
    <xf numFmtId="14" fontId="0" fillId="0" borderId="0" xfId="0" applyNumberFormat="1"/>
    <xf numFmtId="0" fontId="1" fillId="0" borderId="0" xfId="0" applyFont="1"/>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umainesystem-my.sharepoint.com/personal/sander_elliott_maine_edu/Documents/Desktop/Github/Sturgeon_TidBits/OTN%20sheet/data/2015to2025.OTN.upload.working.SE.xlsx" TargetMode="External"/><Relationship Id="rId1" Type="http://schemas.openxmlformats.org/officeDocument/2006/relationships/externalLinkPath" Target="2015to2025.OTN.upload.working.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Dictionary"/>
      <sheetName val="Tag Metadata"/>
      <sheetName val="tid.cln"/>
      <sheetName val="Sheet2"/>
      <sheetName val="Sheet1"/>
    </sheetNames>
    <sheetDataSet>
      <sheetData sheetId="0"/>
      <sheetData sheetId="1"/>
      <sheetData sheetId="2">
        <row r="2">
          <cell r="T2">
            <v>77</v>
          </cell>
          <cell r="W2">
            <v>3.45</v>
          </cell>
        </row>
        <row r="3">
          <cell r="T3">
            <v>156</v>
          </cell>
        </row>
        <row r="4">
          <cell r="T4">
            <v>174</v>
          </cell>
        </row>
        <row r="5">
          <cell r="T5">
            <v>134</v>
          </cell>
        </row>
        <row r="6">
          <cell r="T6">
            <v>156</v>
          </cell>
        </row>
        <row r="7">
          <cell r="T7">
            <v>149</v>
          </cell>
        </row>
        <row r="8">
          <cell r="T8">
            <v>138</v>
          </cell>
        </row>
        <row r="9">
          <cell r="T9">
            <v>116</v>
          </cell>
        </row>
        <row r="10">
          <cell r="T10">
            <v>147</v>
          </cell>
        </row>
        <row r="11">
          <cell r="T11">
            <v>143</v>
          </cell>
        </row>
        <row r="12">
          <cell r="T12">
            <v>197</v>
          </cell>
        </row>
        <row r="13">
          <cell r="T13">
            <v>74</v>
          </cell>
        </row>
        <row r="14">
          <cell r="T14">
            <v>59</v>
          </cell>
        </row>
        <row r="15">
          <cell r="T15">
            <v>58</v>
          </cell>
        </row>
        <row r="16">
          <cell r="T16">
            <v>65</v>
          </cell>
        </row>
        <row r="17">
          <cell r="T17">
            <v>68</v>
          </cell>
        </row>
        <row r="18">
          <cell r="T18">
            <v>68</v>
          </cell>
        </row>
        <row r="19">
          <cell r="T19">
            <v>73</v>
          </cell>
        </row>
        <row r="20">
          <cell r="T20">
            <v>65</v>
          </cell>
        </row>
        <row r="21">
          <cell r="T21">
            <v>75</v>
          </cell>
        </row>
        <row r="22">
          <cell r="T22">
            <v>70</v>
          </cell>
        </row>
        <row r="23">
          <cell r="T23">
            <v>65</v>
          </cell>
        </row>
        <row r="24">
          <cell r="T24">
            <v>65</v>
          </cell>
        </row>
        <row r="25">
          <cell r="T25">
            <v>63</v>
          </cell>
        </row>
        <row r="26">
          <cell r="T26">
            <v>159</v>
          </cell>
        </row>
        <row r="27">
          <cell r="T27">
            <v>90</v>
          </cell>
        </row>
        <row r="28">
          <cell r="T28">
            <v>85</v>
          </cell>
        </row>
        <row r="29">
          <cell r="T29">
            <v>90</v>
          </cell>
        </row>
        <row r="30">
          <cell r="T30">
            <v>87</v>
          </cell>
        </row>
        <row r="31">
          <cell r="T31">
            <v>94</v>
          </cell>
        </row>
        <row r="32">
          <cell r="T32">
            <v>89</v>
          </cell>
        </row>
        <row r="33">
          <cell r="T33">
            <v>86</v>
          </cell>
        </row>
        <row r="34">
          <cell r="T34">
            <v>87</v>
          </cell>
        </row>
        <row r="35">
          <cell r="T35">
            <v>94</v>
          </cell>
        </row>
        <row r="36">
          <cell r="T36">
            <v>95</v>
          </cell>
        </row>
        <row r="37">
          <cell r="T37">
            <v>91</v>
          </cell>
        </row>
        <row r="38">
          <cell r="T38">
            <v>109</v>
          </cell>
        </row>
        <row r="39">
          <cell r="T39">
            <v>90</v>
          </cell>
        </row>
        <row r="40">
          <cell r="T40">
            <v>95</v>
          </cell>
        </row>
        <row r="41">
          <cell r="T41">
            <v>109</v>
          </cell>
        </row>
        <row r="42">
          <cell r="T42">
            <v>103</v>
          </cell>
        </row>
        <row r="43">
          <cell r="T43">
            <v>109</v>
          </cell>
        </row>
        <row r="44">
          <cell r="T44">
            <v>130</v>
          </cell>
        </row>
        <row r="45">
          <cell r="T45">
            <v>96</v>
          </cell>
        </row>
        <row r="46">
          <cell r="T46">
            <v>85</v>
          </cell>
        </row>
        <row r="47">
          <cell r="T47">
            <v>94</v>
          </cell>
        </row>
        <row r="48">
          <cell r="T48">
            <v>115</v>
          </cell>
        </row>
        <row r="49">
          <cell r="T49">
            <v>102</v>
          </cell>
        </row>
        <row r="50">
          <cell r="T50">
            <v>176</v>
          </cell>
        </row>
        <row r="51">
          <cell r="T51">
            <v>120</v>
          </cell>
        </row>
        <row r="52">
          <cell r="T52">
            <v>109</v>
          </cell>
        </row>
      </sheetData>
      <sheetData sheetId="3">
        <row r="2">
          <cell r="F2">
            <v>201127</v>
          </cell>
          <cell r="J2">
            <v>1638355</v>
          </cell>
        </row>
        <row r="3">
          <cell r="F3">
            <v>201128</v>
          </cell>
          <cell r="J3">
            <v>1638356</v>
          </cell>
        </row>
        <row r="4">
          <cell r="F4">
            <v>201129</v>
          </cell>
          <cell r="J4">
            <v>1638357</v>
          </cell>
        </row>
        <row r="5">
          <cell r="F5">
            <v>201130</v>
          </cell>
          <cell r="J5">
            <v>1638358</v>
          </cell>
        </row>
        <row r="6">
          <cell r="F6">
            <v>201131</v>
          </cell>
          <cell r="J6">
            <v>1638359</v>
          </cell>
        </row>
        <row r="7">
          <cell r="F7">
            <v>201132</v>
          </cell>
          <cell r="J7">
            <v>1638360</v>
          </cell>
        </row>
        <row r="8">
          <cell r="F8">
            <v>201133</v>
          </cell>
          <cell r="J8">
            <v>1638361</v>
          </cell>
        </row>
        <row r="9">
          <cell r="F9">
            <v>201134</v>
          </cell>
          <cell r="J9">
            <v>1638362</v>
          </cell>
        </row>
        <row r="10">
          <cell r="F10">
            <v>201212</v>
          </cell>
          <cell r="J10">
            <v>1645258</v>
          </cell>
        </row>
        <row r="11">
          <cell r="F11">
            <v>201213</v>
          </cell>
          <cell r="J11">
            <v>1645259</v>
          </cell>
        </row>
        <row r="12">
          <cell r="F12">
            <v>201214</v>
          </cell>
          <cell r="J12">
            <v>1645260</v>
          </cell>
        </row>
        <row r="13">
          <cell r="F13">
            <v>201215</v>
          </cell>
          <cell r="J13">
            <v>1645261</v>
          </cell>
        </row>
        <row r="14">
          <cell r="F14">
            <v>201216</v>
          </cell>
          <cell r="J14">
            <v>1645262</v>
          </cell>
        </row>
        <row r="15">
          <cell r="F15">
            <v>201217</v>
          </cell>
          <cell r="J15">
            <v>1645263</v>
          </cell>
        </row>
        <row r="16">
          <cell r="F16">
            <v>201218</v>
          </cell>
          <cell r="J16">
            <v>1645264</v>
          </cell>
        </row>
        <row r="17">
          <cell r="F17">
            <v>201219</v>
          </cell>
          <cell r="J17">
            <v>1645265</v>
          </cell>
        </row>
        <row r="18">
          <cell r="F18">
            <v>201220</v>
          </cell>
          <cell r="J18">
            <v>1645266</v>
          </cell>
        </row>
        <row r="19">
          <cell r="F19">
            <v>201221</v>
          </cell>
          <cell r="J19">
            <v>1645267</v>
          </cell>
        </row>
        <row r="20">
          <cell r="F20">
            <v>201222</v>
          </cell>
          <cell r="J20">
            <v>1645268</v>
          </cell>
        </row>
        <row r="21">
          <cell r="F21">
            <v>201223</v>
          </cell>
          <cell r="J21">
            <v>1645269</v>
          </cell>
        </row>
        <row r="22">
          <cell r="F22">
            <v>201224</v>
          </cell>
          <cell r="J22">
            <v>1645270</v>
          </cell>
        </row>
        <row r="23">
          <cell r="F23">
            <v>201225</v>
          </cell>
          <cell r="J23">
            <v>1645271</v>
          </cell>
        </row>
        <row r="24">
          <cell r="F24">
            <v>201226</v>
          </cell>
          <cell r="J24">
            <v>1645272</v>
          </cell>
        </row>
        <row r="25">
          <cell r="F25">
            <v>201227</v>
          </cell>
          <cell r="J25">
            <v>1645273</v>
          </cell>
        </row>
        <row r="26">
          <cell r="F26">
            <v>201228</v>
          </cell>
          <cell r="J26">
            <v>1645274</v>
          </cell>
        </row>
        <row r="27">
          <cell r="F27">
            <v>201229</v>
          </cell>
          <cell r="J27">
            <v>1645275</v>
          </cell>
        </row>
        <row r="28">
          <cell r="F28">
            <v>201230</v>
          </cell>
          <cell r="J28">
            <v>1645276</v>
          </cell>
        </row>
        <row r="29">
          <cell r="F29">
            <v>201231</v>
          </cell>
          <cell r="J29">
            <v>1645277</v>
          </cell>
        </row>
        <row r="30">
          <cell r="F30">
            <v>201232</v>
          </cell>
          <cell r="J30">
            <v>1645278</v>
          </cell>
        </row>
        <row r="31">
          <cell r="F31">
            <v>201233</v>
          </cell>
          <cell r="J31">
            <v>1645279</v>
          </cell>
        </row>
        <row r="32">
          <cell r="F32">
            <v>201234</v>
          </cell>
          <cell r="J32">
            <v>1645280</v>
          </cell>
        </row>
        <row r="33">
          <cell r="F33">
            <v>201235</v>
          </cell>
          <cell r="J33">
            <v>1645281</v>
          </cell>
        </row>
        <row r="34">
          <cell r="F34">
            <v>201236</v>
          </cell>
          <cell r="J34">
            <v>1645282</v>
          </cell>
        </row>
        <row r="35">
          <cell r="F35">
            <v>201237</v>
          </cell>
          <cell r="J35">
            <v>1645283</v>
          </cell>
        </row>
        <row r="36">
          <cell r="F36">
            <v>201238</v>
          </cell>
          <cell r="J36">
            <v>1645284</v>
          </cell>
        </row>
        <row r="37">
          <cell r="F37">
            <v>201239</v>
          </cell>
          <cell r="J37">
            <v>1645285</v>
          </cell>
        </row>
        <row r="38">
          <cell r="F38">
            <v>201240</v>
          </cell>
          <cell r="J38">
            <v>1645286</v>
          </cell>
        </row>
        <row r="39">
          <cell r="F39">
            <v>201241</v>
          </cell>
          <cell r="J39">
            <v>1645287</v>
          </cell>
        </row>
        <row r="40">
          <cell r="F40">
            <v>201242</v>
          </cell>
          <cell r="J40">
            <v>1645288</v>
          </cell>
        </row>
        <row r="41">
          <cell r="F41">
            <v>201243</v>
          </cell>
          <cell r="J41">
            <v>1645289</v>
          </cell>
        </row>
        <row r="42">
          <cell r="F42">
            <v>201244</v>
          </cell>
          <cell r="J42">
            <v>1645290</v>
          </cell>
        </row>
        <row r="43">
          <cell r="F43">
            <v>201245</v>
          </cell>
          <cell r="J43">
            <v>1645291</v>
          </cell>
        </row>
        <row r="44">
          <cell r="F44">
            <v>201246</v>
          </cell>
          <cell r="J44">
            <v>1645292</v>
          </cell>
        </row>
        <row r="45">
          <cell r="F45">
            <v>201247</v>
          </cell>
          <cell r="J45">
            <v>1645293</v>
          </cell>
        </row>
        <row r="46">
          <cell r="F46">
            <v>201248</v>
          </cell>
          <cell r="J46">
            <v>1645294</v>
          </cell>
        </row>
        <row r="47">
          <cell r="F47">
            <v>201249</v>
          </cell>
          <cell r="J47">
            <v>1645295</v>
          </cell>
        </row>
        <row r="48">
          <cell r="F48">
            <v>201250</v>
          </cell>
          <cell r="J48">
            <v>1645296</v>
          </cell>
        </row>
        <row r="49">
          <cell r="F49">
            <v>201251</v>
          </cell>
          <cell r="J49">
            <v>1645297</v>
          </cell>
        </row>
        <row r="50">
          <cell r="F50">
            <v>201252</v>
          </cell>
          <cell r="J50">
            <v>1645298</v>
          </cell>
        </row>
        <row r="51">
          <cell r="F51">
            <v>201253</v>
          </cell>
          <cell r="J51">
            <v>1645299</v>
          </cell>
        </row>
      </sheetData>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23E91-DA5C-4EC2-BE4C-95E4712283F4}">
  <dimension ref="A1:C61"/>
  <sheetViews>
    <sheetView workbookViewId="0">
      <selection activeCell="L24" sqref="L24"/>
    </sheetView>
  </sheetViews>
  <sheetFormatPr defaultRowHeight="15" x14ac:dyDescent="0.25"/>
  <cols>
    <col min="1" max="1" width="35" customWidth="1"/>
    <col min="2" max="2" width="40.7109375" customWidth="1"/>
    <col min="3" max="3" width="76.28515625" customWidth="1"/>
  </cols>
  <sheetData>
    <row r="1" spans="1:3" x14ac:dyDescent="0.25">
      <c r="A1" s="52" t="s">
        <v>0</v>
      </c>
      <c r="B1" s="53"/>
      <c r="C1" s="53"/>
    </row>
    <row r="2" spans="1:3" ht="33" customHeight="1" x14ac:dyDescent="0.25">
      <c r="A2" s="54" t="s">
        <v>1</v>
      </c>
      <c r="B2" s="55"/>
      <c r="C2" s="55"/>
    </row>
    <row r="4" spans="1:3" x14ac:dyDescent="0.25">
      <c r="A4" s="1" t="s">
        <v>2</v>
      </c>
      <c r="B4" s="2" t="s">
        <v>3</v>
      </c>
      <c r="C4" s="2" t="s">
        <v>4</v>
      </c>
    </row>
    <row r="5" spans="1:3" ht="31.5" customHeight="1" x14ac:dyDescent="0.25">
      <c r="A5" s="3" t="s">
        <v>5</v>
      </c>
      <c r="B5" s="3" t="s">
        <v>6</v>
      </c>
      <c r="C5" s="3" t="s">
        <v>7</v>
      </c>
    </row>
    <row r="6" spans="1:3" ht="25.5" x14ac:dyDescent="0.25">
      <c r="A6" s="4" t="s">
        <v>8</v>
      </c>
      <c r="B6" s="3" t="s">
        <v>9</v>
      </c>
      <c r="C6" s="3" t="s">
        <v>10</v>
      </c>
    </row>
    <row r="7" spans="1:3" x14ac:dyDescent="0.25">
      <c r="A7" s="5" t="s">
        <v>11</v>
      </c>
      <c r="B7" s="6" t="s">
        <v>12</v>
      </c>
      <c r="C7" s="3" t="s">
        <v>13</v>
      </c>
    </row>
    <row r="8" spans="1:3" x14ac:dyDescent="0.25">
      <c r="A8" s="7" t="s">
        <v>14</v>
      </c>
      <c r="B8" s="8" t="s">
        <v>15</v>
      </c>
      <c r="C8" s="8" t="s">
        <v>16</v>
      </c>
    </row>
    <row r="9" spans="1:3" x14ac:dyDescent="0.25">
      <c r="A9" s="7" t="s">
        <v>17</v>
      </c>
      <c r="B9" s="9" t="s">
        <v>18</v>
      </c>
      <c r="C9" s="3" t="s">
        <v>19</v>
      </c>
    </row>
    <row r="10" spans="1:3" ht="38.25" x14ac:dyDescent="0.25">
      <c r="A10" s="7" t="s">
        <v>20</v>
      </c>
      <c r="B10" s="9" t="s">
        <v>21</v>
      </c>
      <c r="C10" s="3" t="s">
        <v>22</v>
      </c>
    </row>
    <row r="11" spans="1:3" x14ac:dyDescent="0.25">
      <c r="A11" s="7" t="s">
        <v>23</v>
      </c>
      <c r="B11" s="9" t="s">
        <v>24</v>
      </c>
      <c r="C11" s="8" t="s">
        <v>25</v>
      </c>
    </row>
    <row r="12" spans="1:3" ht="25.5" x14ac:dyDescent="0.25">
      <c r="A12" s="10" t="s">
        <v>26</v>
      </c>
      <c r="B12" s="11" t="s">
        <v>27</v>
      </c>
      <c r="C12" s="3" t="s">
        <v>28</v>
      </c>
    </row>
    <row r="13" spans="1:3" ht="38.25" x14ac:dyDescent="0.25">
      <c r="A13" s="11" t="s">
        <v>29</v>
      </c>
      <c r="B13" s="11" t="s">
        <v>30</v>
      </c>
      <c r="C13" s="3" t="s">
        <v>31</v>
      </c>
    </row>
    <row r="14" spans="1:3" x14ac:dyDescent="0.25">
      <c r="A14" s="12" t="s">
        <v>32</v>
      </c>
      <c r="B14" s="3" t="s">
        <v>33</v>
      </c>
      <c r="C14" s="3" t="s">
        <v>34</v>
      </c>
    </row>
    <row r="15" spans="1:3" ht="25.5" x14ac:dyDescent="0.25">
      <c r="A15" s="13" t="s">
        <v>35</v>
      </c>
      <c r="B15" s="3" t="s">
        <v>36</v>
      </c>
      <c r="C15" s="3" t="s">
        <v>37</v>
      </c>
    </row>
    <row r="16" spans="1:3" ht="25.5" x14ac:dyDescent="0.25">
      <c r="A16" s="10" t="s">
        <v>38</v>
      </c>
      <c r="B16" s="3" t="s">
        <v>39</v>
      </c>
      <c r="C16" s="3" t="s">
        <v>40</v>
      </c>
    </row>
    <row r="17" spans="1:3" ht="25.5" x14ac:dyDescent="0.25">
      <c r="A17" s="7" t="s">
        <v>41</v>
      </c>
      <c r="B17" s="3" t="s">
        <v>39</v>
      </c>
      <c r="C17" s="3" t="s">
        <v>42</v>
      </c>
    </row>
    <row r="18" spans="1:3" x14ac:dyDescent="0.25">
      <c r="A18" s="7" t="s">
        <v>43</v>
      </c>
      <c r="B18" s="9" t="s">
        <v>44</v>
      </c>
      <c r="C18" s="3" t="s">
        <v>45</v>
      </c>
    </row>
    <row r="19" spans="1:3" x14ac:dyDescent="0.25">
      <c r="A19" s="7" t="s">
        <v>46</v>
      </c>
      <c r="B19" s="3" t="s">
        <v>47</v>
      </c>
      <c r="C19" s="3" t="s">
        <v>48</v>
      </c>
    </row>
    <row r="20" spans="1:3" x14ac:dyDescent="0.25">
      <c r="A20" s="7" t="s">
        <v>49</v>
      </c>
      <c r="B20" s="14" t="s">
        <v>50</v>
      </c>
      <c r="C20" s="14" t="s">
        <v>51</v>
      </c>
    </row>
    <row r="21" spans="1:3" ht="51" x14ac:dyDescent="0.25">
      <c r="A21" s="8" t="s">
        <v>52</v>
      </c>
      <c r="B21" s="6" t="s">
        <v>53</v>
      </c>
      <c r="C21" s="3" t="s">
        <v>54</v>
      </c>
    </row>
    <row r="22" spans="1:3" ht="25.5" x14ac:dyDescent="0.25">
      <c r="A22" s="8" t="s">
        <v>55</v>
      </c>
      <c r="B22" s="3" t="s">
        <v>56</v>
      </c>
      <c r="C22" s="3" t="s">
        <v>57</v>
      </c>
    </row>
    <row r="23" spans="1:3" ht="25.5" x14ac:dyDescent="0.25">
      <c r="A23" s="8" t="s">
        <v>58</v>
      </c>
      <c r="B23" s="3" t="s">
        <v>59</v>
      </c>
      <c r="C23" s="3" t="s">
        <v>60</v>
      </c>
    </row>
    <row r="24" spans="1:3" ht="25.5" x14ac:dyDescent="0.25">
      <c r="A24" s="7" t="s">
        <v>61</v>
      </c>
      <c r="B24" s="3" t="s">
        <v>62</v>
      </c>
      <c r="C24" s="3" t="s">
        <v>63</v>
      </c>
    </row>
    <row r="25" spans="1:3" ht="25.5" x14ac:dyDescent="0.25">
      <c r="A25" s="7" t="s">
        <v>64</v>
      </c>
      <c r="B25" s="6" t="s">
        <v>65</v>
      </c>
      <c r="C25" s="6" t="s">
        <v>66</v>
      </c>
    </row>
    <row r="26" spans="1:3" x14ac:dyDescent="0.25">
      <c r="A26" s="7" t="s">
        <v>67</v>
      </c>
      <c r="B26" s="8" t="s">
        <v>68</v>
      </c>
      <c r="C26" s="8" t="s">
        <v>69</v>
      </c>
    </row>
    <row r="27" spans="1:3" x14ac:dyDescent="0.25">
      <c r="A27" s="15" t="s">
        <v>70</v>
      </c>
      <c r="B27" s="3" t="s">
        <v>71</v>
      </c>
      <c r="C27" s="3" t="s">
        <v>72</v>
      </c>
    </row>
    <row r="28" spans="1:3" x14ac:dyDescent="0.25">
      <c r="A28" s="7" t="s">
        <v>73</v>
      </c>
      <c r="B28" s="8" t="s">
        <v>74</v>
      </c>
      <c r="C28" s="8" t="s">
        <v>75</v>
      </c>
    </row>
    <row r="29" spans="1:3" x14ac:dyDescent="0.25">
      <c r="A29" s="8" t="s">
        <v>76</v>
      </c>
      <c r="B29" s="8" t="s">
        <v>68</v>
      </c>
      <c r="C29" s="8" t="s">
        <v>77</v>
      </c>
    </row>
    <row r="30" spans="1:3" x14ac:dyDescent="0.25">
      <c r="A30" s="8" t="s">
        <v>78</v>
      </c>
      <c r="B30" s="8" t="s">
        <v>79</v>
      </c>
      <c r="C30" s="8" t="s">
        <v>80</v>
      </c>
    </row>
    <row r="31" spans="1:3" ht="30" customHeight="1" x14ac:dyDescent="0.25">
      <c r="A31" s="7" t="s">
        <v>81</v>
      </c>
      <c r="B31" s="8" t="s">
        <v>82</v>
      </c>
      <c r="C31" s="8" t="s">
        <v>83</v>
      </c>
    </row>
    <row r="32" spans="1:3" x14ac:dyDescent="0.25">
      <c r="A32" s="15" t="s">
        <v>84</v>
      </c>
      <c r="B32" s="14" t="s">
        <v>85</v>
      </c>
      <c r="C32" s="14" t="s">
        <v>86</v>
      </c>
    </row>
    <row r="33" spans="1:3" x14ac:dyDescent="0.25">
      <c r="A33" s="15" t="s">
        <v>87</v>
      </c>
      <c r="B33" s="14" t="s">
        <v>88</v>
      </c>
      <c r="C33" s="14" t="s">
        <v>89</v>
      </c>
    </row>
    <row r="34" spans="1:3" x14ac:dyDescent="0.25">
      <c r="A34" s="15" t="s">
        <v>90</v>
      </c>
      <c r="B34" s="14" t="s">
        <v>91</v>
      </c>
      <c r="C34" s="14" t="s">
        <v>92</v>
      </c>
    </row>
    <row r="35" spans="1:3" x14ac:dyDescent="0.25">
      <c r="A35" s="16" t="s">
        <v>93</v>
      </c>
      <c r="B35" s="3" t="s">
        <v>94</v>
      </c>
      <c r="C35" s="3" t="s">
        <v>95</v>
      </c>
    </row>
    <row r="36" spans="1:3" ht="38.25" x14ac:dyDescent="0.25">
      <c r="A36" s="16" t="s">
        <v>96</v>
      </c>
      <c r="B36" s="3"/>
      <c r="C36" s="3" t="s">
        <v>97</v>
      </c>
    </row>
    <row r="37" spans="1:3" x14ac:dyDescent="0.25">
      <c r="A37" s="8" t="s">
        <v>98</v>
      </c>
      <c r="B37" s="6" t="s">
        <v>99</v>
      </c>
      <c r="C37" s="6" t="s">
        <v>100</v>
      </c>
    </row>
    <row r="38" spans="1:3" ht="38.25" x14ac:dyDescent="0.25">
      <c r="A38" s="7" t="s">
        <v>101</v>
      </c>
      <c r="B38" s="6" t="s">
        <v>53</v>
      </c>
      <c r="C38" s="3" t="s">
        <v>102</v>
      </c>
    </row>
    <row r="39" spans="1:3" ht="25.5" x14ac:dyDescent="0.25">
      <c r="A39" s="17" t="s">
        <v>103</v>
      </c>
      <c r="B39" s="3" t="s">
        <v>56</v>
      </c>
      <c r="C39" s="3" t="s">
        <v>104</v>
      </c>
    </row>
    <row r="40" spans="1:3" ht="25.5" x14ac:dyDescent="0.25">
      <c r="A40" s="17" t="s">
        <v>105</v>
      </c>
      <c r="B40" s="3" t="s">
        <v>59</v>
      </c>
      <c r="C40" s="3" t="s">
        <v>106</v>
      </c>
    </row>
    <row r="41" spans="1:3" ht="25.5" x14ac:dyDescent="0.25">
      <c r="A41" s="7" t="s">
        <v>107</v>
      </c>
      <c r="B41" s="3" t="s">
        <v>108</v>
      </c>
      <c r="C41" s="18" t="s">
        <v>109</v>
      </c>
    </row>
    <row r="42" spans="1:3" ht="51" x14ac:dyDescent="0.25">
      <c r="A42" s="7" t="s">
        <v>110</v>
      </c>
      <c r="B42" s="3" t="s">
        <v>111</v>
      </c>
      <c r="C42" s="18" t="s">
        <v>112</v>
      </c>
    </row>
    <row r="43" spans="1:3" x14ac:dyDescent="0.25">
      <c r="A43" s="8" t="s">
        <v>113</v>
      </c>
      <c r="B43" s="3" t="s">
        <v>114</v>
      </c>
      <c r="C43" s="18" t="s">
        <v>115</v>
      </c>
    </row>
    <row r="44" spans="1:3" ht="25.5" x14ac:dyDescent="0.25">
      <c r="A44" s="8" t="s">
        <v>116</v>
      </c>
      <c r="B44" s="3" t="s">
        <v>117</v>
      </c>
      <c r="C44" s="18" t="s">
        <v>118</v>
      </c>
    </row>
    <row r="45" spans="1:3" ht="63.75" x14ac:dyDescent="0.25">
      <c r="A45" s="8" t="s">
        <v>119</v>
      </c>
      <c r="B45" s="3" t="s">
        <v>120</v>
      </c>
      <c r="C45" s="3" t="s">
        <v>121</v>
      </c>
    </row>
    <row r="46" spans="1:3" x14ac:dyDescent="0.25">
      <c r="A46" s="8" t="s">
        <v>122</v>
      </c>
      <c r="B46" s="3" t="s">
        <v>123</v>
      </c>
      <c r="C46" s="3" t="s">
        <v>124</v>
      </c>
    </row>
    <row r="47" spans="1:3" x14ac:dyDescent="0.25">
      <c r="A47" s="8" t="s">
        <v>125</v>
      </c>
      <c r="B47" s="3" t="s">
        <v>126</v>
      </c>
      <c r="C47" s="3" t="s">
        <v>127</v>
      </c>
    </row>
    <row r="48" spans="1:3" x14ac:dyDescent="0.25">
      <c r="A48" s="8" t="s">
        <v>128</v>
      </c>
      <c r="B48" s="3" t="s">
        <v>129</v>
      </c>
      <c r="C48" s="3" t="s">
        <v>130</v>
      </c>
    </row>
    <row r="49" spans="1:3" x14ac:dyDescent="0.25">
      <c r="A49" s="19" t="s">
        <v>131</v>
      </c>
      <c r="B49" s="3" t="s">
        <v>33</v>
      </c>
      <c r="C49" s="18" t="s">
        <v>132</v>
      </c>
    </row>
    <row r="50" spans="1:3" ht="25.5" x14ac:dyDescent="0.25">
      <c r="A50" s="16" t="s">
        <v>133</v>
      </c>
      <c r="B50" s="3" t="s">
        <v>56</v>
      </c>
      <c r="C50" s="3" t="s">
        <v>134</v>
      </c>
    </row>
    <row r="51" spans="1:3" ht="25.5" x14ac:dyDescent="0.25">
      <c r="A51" s="16" t="s">
        <v>135</v>
      </c>
      <c r="B51" s="3" t="s">
        <v>59</v>
      </c>
      <c r="C51" s="3" t="s">
        <v>136</v>
      </c>
    </row>
    <row r="52" spans="1:3" x14ac:dyDescent="0.25">
      <c r="A52" s="8" t="s">
        <v>137</v>
      </c>
      <c r="B52" s="18" t="s">
        <v>138</v>
      </c>
      <c r="C52" s="3" t="s">
        <v>139</v>
      </c>
    </row>
    <row r="53" spans="1:3" x14ac:dyDescent="0.25">
      <c r="A53" s="14" t="s">
        <v>140</v>
      </c>
      <c r="B53" s="9" t="s">
        <v>141</v>
      </c>
      <c r="C53" s="3" t="s">
        <v>142</v>
      </c>
    </row>
    <row r="54" spans="1:3" x14ac:dyDescent="0.25">
      <c r="A54" s="8" t="s">
        <v>143</v>
      </c>
      <c r="B54" s="8" t="s">
        <v>144</v>
      </c>
      <c r="C54" s="3" t="s">
        <v>145</v>
      </c>
    </row>
    <row r="55" spans="1:3" x14ac:dyDescent="0.25">
      <c r="A55" s="14" t="s">
        <v>146</v>
      </c>
      <c r="B55" s="3" t="s">
        <v>147</v>
      </c>
      <c r="C55" s="3" t="s">
        <v>148</v>
      </c>
    </row>
    <row r="56" spans="1:3" x14ac:dyDescent="0.25">
      <c r="A56" s="14" t="s">
        <v>149</v>
      </c>
      <c r="B56" s="9" t="s">
        <v>141</v>
      </c>
      <c r="C56" s="3" t="s">
        <v>150</v>
      </c>
    </row>
    <row r="57" spans="1:3" ht="25.5" x14ac:dyDescent="0.25">
      <c r="A57" s="14" t="s">
        <v>151</v>
      </c>
      <c r="B57" s="9" t="s">
        <v>141</v>
      </c>
      <c r="C57" s="3" t="s">
        <v>152</v>
      </c>
    </row>
    <row r="58" spans="1:3" ht="25.5" x14ac:dyDescent="0.25">
      <c r="A58" s="14" t="s">
        <v>153</v>
      </c>
      <c r="B58" s="9" t="s">
        <v>141</v>
      </c>
      <c r="C58" s="3" t="s">
        <v>154</v>
      </c>
    </row>
    <row r="59" spans="1:3" ht="25.5" x14ac:dyDescent="0.25">
      <c r="A59" s="14" t="s">
        <v>155</v>
      </c>
      <c r="B59" s="9" t="s">
        <v>141</v>
      </c>
      <c r="C59" s="3" t="s">
        <v>156</v>
      </c>
    </row>
    <row r="60" spans="1:3" ht="63.75" x14ac:dyDescent="0.25">
      <c r="A60" s="14" t="s">
        <v>157</v>
      </c>
      <c r="B60" s="3" t="s">
        <v>141</v>
      </c>
      <c r="C60" s="3" t="s">
        <v>158</v>
      </c>
    </row>
    <row r="61" spans="1:3" ht="25.5" x14ac:dyDescent="0.25">
      <c r="A61" s="20" t="s">
        <v>159</v>
      </c>
      <c r="B61" s="6" t="s">
        <v>160</v>
      </c>
      <c r="C61" s="6" t="s">
        <v>161</v>
      </c>
    </row>
  </sheetData>
  <sheetProtection selectLockedCells="1" selectUnlockedCells="1"/>
  <mergeCells count="2">
    <mergeCell ref="A1:C1"/>
    <mergeCell ref="A2:C2"/>
  </mergeCells>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5249-9A75-4C8C-98CD-F6306CC62F2E}">
  <sheetPr>
    <pageSetUpPr autoPageBreaks="0"/>
  </sheetPr>
  <dimension ref="A1:BU446"/>
  <sheetViews>
    <sheetView tabSelected="1" topLeftCell="I1" zoomScaleNormal="100" workbookViewId="0">
      <pane ySplit="1" topLeftCell="A6" activePane="bottomLeft" state="frozen"/>
      <selection pane="bottomLeft" activeCell="Z49" sqref="Z49"/>
    </sheetView>
  </sheetViews>
  <sheetFormatPr defaultRowHeight="15" x14ac:dyDescent="0.25"/>
  <cols>
    <col min="1" max="1" width="16" bestFit="1" customWidth="1"/>
    <col min="4" max="5" width="9.140625" customWidth="1"/>
    <col min="7" max="7" width="17.140625" customWidth="1"/>
    <col min="8" max="9" width="10.5703125" customWidth="1"/>
    <col min="10" max="10" width="18.42578125" bestFit="1" customWidth="1"/>
    <col min="11" max="11" width="10.5703125" customWidth="1"/>
    <col min="12" max="12" width="11.5703125" customWidth="1"/>
    <col min="13" max="13" width="10.5703125" customWidth="1"/>
    <col min="15" max="15" width="10.140625" customWidth="1"/>
    <col min="16" max="16" width="9.5703125" customWidth="1"/>
    <col min="36" max="36" width="9.140625" customWidth="1"/>
    <col min="37" max="37" width="19.140625" style="48" bestFit="1" customWidth="1"/>
    <col min="38" max="38" width="18.28515625" style="51" customWidth="1"/>
    <col min="39" max="40" width="9.140625" customWidth="1"/>
    <col min="44" max="44" width="16.7109375" customWidth="1"/>
    <col min="55" max="55" width="9.140625" customWidth="1"/>
  </cols>
  <sheetData>
    <row r="1" spans="1:73" ht="125.25" customHeight="1" thickBot="1" x14ac:dyDescent="0.3">
      <c r="A1" s="21" t="s">
        <v>162</v>
      </c>
      <c r="B1" s="22" t="s">
        <v>8</v>
      </c>
      <c r="C1" s="23" t="s">
        <v>11</v>
      </c>
      <c r="D1" s="23" t="s">
        <v>14</v>
      </c>
      <c r="E1" s="23" t="s">
        <v>17</v>
      </c>
      <c r="F1" s="23" t="s">
        <v>20</v>
      </c>
      <c r="G1" s="23" t="s">
        <v>23</v>
      </c>
      <c r="H1" s="23" t="s">
        <v>26</v>
      </c>
      <c r="I1" s="24" t="s">
        <v>29</v>
      </c>
      <c r="J1" s="25" t="s">
        <v>32</v>
      </c>
      <c r="K1" s="26" t="s">
        <v>35</v>
      </c>
      <c r="L1" s="27" t="s">
        <v>38</v>
      </c>
      <c r="M1" s="23" t="s">
        <v>41</v>
      </c>
      <c r="N1" s="23" t="s">
        <v>43</v>
      </c>
      <c r="O1" s="23" t="s">
        <v>46</v>
      </c>
      <c r="P1" s="23" t="s">
        <v>49</v>
      </c>
      <c r="Q1" s="24" t="s">
        <v>52</v>
      </c>
      <c r="R1" s="24" t="s">
        <v>55</v>
      </c>
      <c r="S1" s="24" t="s">
        <v>58</v>
      </c>
      <c r="T1" s="23" t="s">
        <v>61</v>
      </c>
      <c r="U1" s="23" t="s">
        <v>64</v>
      </c>
      <c r="V1" s="23" t="s">
        <v>67</v>
      </c>
      <c r="W1" s="23" t="s">
        <v>70</v>
      </c>
      <c r="X1" s="23" t="s">
        <v>73</v>
      </c>
      <c r="Y1" s="24" t="s">
        <v>76</v>
      </c>
      <c r="Z1" s="24" t="s">
        <v>78</v>
      </c>
      <c r="AA1" s="23" t="s">
        <v>81</v>
      </c>
      <c r="AB1" s="28" t="s">
        <v>84</v>
      </c>
      <c r="AC1" s="28" t="s">
        <v>87</v>
      </c>
      <c r="AD1" s="28" t="s">
        <v>90</v>
      </c>
      <c r="AE1" s="29" t="s">
        <v>93</v>
      </c>
      <c r="AF1" s="29" t="s">
        <v>96</v>
      </c>
      <c r="AG1" s="24" t="s">
        <v>98</v>
      </c>
      <c r="AH1" s="23" t="s">
        <v>101</v>
      </c>
      <c r="AI1" s="23" t="s">
        <v>103</v>
      </c>
      <c r="AJ1" s="23" t="s">
        <v>105</v>
      </c>
      <c r="AK1" s="30" t="s">
        <v>107</v>
      </c>
      <c r="AL1" s="31" t="s">
        <v>110</v>
      </c>
      <c r="AM1" s="24" t="s">
        <v>163</v>
      </c>
      <c r="AN1" s="24" t="s">
        <v>164</v>
      </c>
      <c r="AO1" s="24" t="s">
        <v>165</v>
      </c>
      <c r="AP1" s="24" t="s">
        <v>166</v>
      </c>
      <c r="AQ1" s="24" t="s">
        <v>167</v>
      </c>
      <c r="AR1" s="24" t="s">
        <v>128</v>
      </c>
      <c r="AS1" s="32" t="s">
        <v>131</v>
      </c>
      <c r="AT1" s="29" t="s">
        <v>133</v>
      </c>
      <c r="AU1" s="29" t="s">
        <v>135</v>
      </c>
      <c r="AV1" s="24" t="s">
        <v>137</v>
      </c>
      <c r="AW1" s="33" t="s">
        <v>168</v>
      </c>
      <c r="AX1" s="24" t="s">
        <v>143</v>
      </c>
      <c r="AY1" s="33" t="s">
        <v>146</v>
      </c>
      <c r="AZ1" s="33" t="s">
        <v>169</v>
      </c>
      <c r="BA1" s="33" t="s">
        <v>170</v>
      </c>
      <c r="BB1" s="33" t="s">
        <v>171</v>
      </c>
      <c r="BC1" s="33" t="s">
        <v>172</v>
      </c>
      <c r="BD1" s="33" t="s">
        <v>157</v>
      </c>
      <c r="BE1" s="34" t="s">
        <v>159</v>
      </c>
      <c r="BG1" s="35"/>
      <c r="BH1" s="36"/>
      <c r="BJ1" s="37"/>
      <c r="BK1" s="36"/>
      <c r="BL1" s="36"/>
      <c r="BM1" s="36"/>
      <c r="BN1" s="36"/>
      <c r="BO1" s="36"/>
      <c r="BP1" s="36"/>
      <c r="BQ1" s="36"/>
      <c r="BR1" s="36"/>
      <c r="BS1" s="36"/>
      <c r="BT1" s="36"/>
      <c r="BU1" s="36"/>
    </row>
    <row r="2" spans="1:73" ht="34.5" thickBot="1" x14ac:dyDescent="0.3">
      <c r="A2" s="49" t="s">
        <v>196</v>
      </c>
      <c r="B2" s="39" t="s">
        <v>173</v>
      </c>
      <c r="C2" s="40" t="s">
        <v>174</v>
      </c>
      <c r="D2" s="41" t="s">
        <v>189</v>
      </c>
      <c r="E2" s="46">
        <v>1251362</v>
      </c>
      <c r="F2" s="42">
        <v>11183</v>
      </c>
      <c r="G2" s="41" t="s">
        <v>190</v>
      </c>
      <c r="H2" s="41" t="s">
        <v>175</v>
      </c>
      <c r="I2" s="41" t="s">
        <v>176</v>
      </c>
      <c r="J2" s="43">
        <v>44018</v>
      </c>
      <c r="K2" s="46" t="s">
        <v>191</v>
      </c>
      <c r="L2" s="46" t="s">
        <v>195</v>
      </c>
      <c r="M2" s="44" t="s">
        <v>177</v>
      </c>
      <c r="N2" s="41" t="s">
        <v>178</v>
      </c>
      <c r="O2" s="38" t="s">
        <v>179</v>
      </c>
      <c r="P2" s="41" t="s">
        <v>180</v>
      </c>
      <c r="Q2" s="41" t="s">
        <v>181</v>
      </c>
      <c r="R2" s="46">
        <v>44.942020501103897</v>
      </c>
      <c r="S2" s="46">
        <v>-68.644817917810002</v>
      </c>
      <c r="T2" s="41" t="s">
        <v>182</v>
      </c>
      <c r="U2" s="41" t="s">
        <v>183</v>
      </c>
      <c r="V2" s="38">
        <f>[1]tid.cln!T2/100</f>
        <v>0.77</v>
      </c>
      <c r="W2" s="42">
        <f>[1]tid.cln!W2</f>
        <v>3.45</v>
      </c>
      <c r="X2" s="41" t="s">
        <v>184</v>
      </c>
      <c r="Y2" s="46"/>
      <c r="Z2" s="46"/>
      <c r="AA2" s="41" t="s">
        <v>254</v>
      </c>
      <c r="AB2" s="41" t="s">
        <v>185</v>
      </c>
      <c r="AC2" s="46"/>
      <c r="AD2" s="38" t="s">
        <v>192</v>
      </c>
      <c r="AE2" s="41" t="s">
        <v>186</v>
      </c>
      <c r="AF2" s="46"/>
      <c r="AG2" s="46"/>
      <c r="AH2" s="41" t="str">
        <f>Q2</f>
        <v>Penobscot River</v>
      </c>
      <c r="AI2" s="46">
        <f>R2</f>
        <v>44.942020501103897</v>
      </c>
      <c r="AJ2" s="46">
        <f>S2</f>
        <v>-68.644817917810002</v>
      </c>
      <c r="AK2" s="45">
        <v>44018</v>
      </c>
      <c r="AL2" s="47"/>
      <c r="AM2" s="42"/>
      <c r="AN2" s="46"/>
      <c r="AO2" s="46"/>
      <c r="AP2" s="46"/>
      <c r="AQ2" s="46"/>
      <c r="AR2" s="41" t="str">
        <f>AH2</f>
        <v>Penobscot River</v>
      </c>
      <c r="AS2" s="46"/>
      <c r="AT2" s="46"/>
      <c r="AU2" s="46"/>
      <c r="AV2" s="41" t="s">
        <v>187</v>
      </c>
      <c r="AW2" s="46"/>
      <c r="AX2" s="41" t="s">
        <v>187</v>
      </c>
      <c r="AY2" s="41" t="s">
        <v>188</v>
      </c>
      <c r="AZ2" s="46"/>
      <c r="BA2" s="46"/>
      <c r="BB2" s="46"/>
      <c r="BC2" s="46"/>
      <c r="BD2" s="46"/>
      <c r="BE2" s="46"/>
    </row>
    <row r="3" spans="1:73" ht="34.5" thickBot="1" x14ac:dyDescent="0.3">
      <c r="A3" s="49" t="s">
        <v>197</v>
      </c>
      <c r="B3" s="39" t="s">
        <v>173</v>
      </c>
      <c r="C3" s="40" t="s">
        <v>174</v>
      </c>
      <c r="D3" s="41" t="s">
        <v>198</v>
      </c>
      <c r="E3" s="46">
        <f>_xlfn.XLOOKUP(F3, [1]Sheet2!F$2:F$51,[1]Sheet2!J$2:J$51,"")</f>
        <v>1638355</v>
      </c>
      <c r="F3" s="42">
        <v>201127</v>
      </c>
      <c r="G3" s="41" t="s">
        <v>199</v>
      </c>
      <c r="H3" s="41" t="s">
        <v>175</v>
      </c>
      <c r="I3" s="41" t="s">
        <v>176</v>
      </c>
      <c r="J3" s="43">
        <v>45867</v>
      </c>
      <c r="K3" s="46" t="s">
        <v>200</v>
      </c>
      <c r="L3" s="46" t="s">
        <v>201</v>
      </c>
      <c r="M3" s="44" t="s">
        <v>195</v>
      </c>
      <c r="N3" s="41" t="s">
        <v>202</v>
      </c>
      <c r="O3" s="38" t="s">
        <v>193</v>
      </c>
      <c r="P3" s="41" t="s">
        <v>194</v>
      </c>
      <c r="Q3" s="41" t="s">
        <v>203</v>
      </c>
      <c r="R3" s="46">
        <v>44.241953116897903</v>
      </c>
      <c r="S3" s="46">
        <v>-69.767511659568399</v>
      </c>
      <c r="T3" s="41" t="s">
        <v>182</v>
      </c>
      <c r="U3" s="41" t="s">
        <v>183</v>
      </c>
      <c r="V3" s="38">
        <f>[1]tid.cln!T3/100</f>
        <v>1.56</v>
      </c>
      <c r="W3" s="42" t="s">
        <v>192</v>
      </c>
      <c r="X3" s="41" t="s">
        <v>184</v>
      </c>
      <c r="Y3" s="46"/>
      <c r="Z3" s="46"/>
      <c r="AA3" s="41" t="s">
        <v>254</v>
      </c>
      <c r="AB3" s="41" t="s">
        <v>185</v>
      </c>
      <c r="AC3" s="46"/>
      <c r="AD3" s="38" t="s">
        <v>192</v>
      </c>
      <c r="AE3" s="41" t="s">
        <v>186</v>
      </c>
      <c r="AF3" s="46"/>
      <c r="AG3" s="46"/>
      <c r="AH3" s="41" t="str">
        <f t="shared" ref="AH3:AJ52" si="0">Q3</f>
        <v>Kennebec River</v>
      </c>
      <c r="AI3" s="46">
        <f t="shared" si="0"/>
        <v>44.241953116897903</v>
      </c>
      <c r="AJ3" s="46">
        <f t="shared" si="0"/>
        <v>-69.767511659568399</v>
      </c>
      <c r="AK3" s="45">
        <v>45867</v>
      </c>
      <c r="AL3" s="47"/>
      <c r="AM3" s="42"/>
      <c r="AN3" s="46"/>
      <c r="AO3" s="46"/>
      <c r="AP3" s="46"/>
      <c r="AQ3" s="46"/>
      <c r="AR3" s="41" t="str">
        <f t="shared" ref="AR3:AR52" si="1">AH3</f>
        <v>Kennebec River</v>
      </c>
      <c r="AS3" s="46"/>
      <c r="AT3" s="46"/>
      <c r="AU3" s="46"/>
      <c r="AV3" s="41" t="s">
        <v>187</v>
      </c>
      <c r="AW3" s="46"/>
      <c r="AX3" s="41" t="s">
        <v>187</v>
      </c>
      <c r="AY3" s="41" t="s">
        <v>188</v>
      </c>
      <c r="AZ3" s="46"/>
      <c r="BA3" s="46"/>
      <c r="BB3" s="46"/>
      <c r="BC3" s="46"/>
      <c r="BD3" s="46"/>
      <c r="BE3" s="46"/>
    </row>
    <row r="4" spans="1:73" ht="34.5" thickBot="1" x14ac:dyDescent="0.3">
      <c r="A4" s="49" t="s">
        <v>204</v>
      </c>
      <c r="B4" s="39" t="s">
        <v>173</v>
      </c>
      <c r="C4" s="40" t="s">
        <v>174</v>
      </c>
      <c r="D4" s="41" t="s">
        <v>198</v>
      </c>
      <c r="E4" s="46">
        <f>_xlfn.XLOOKUP(F4, [1]Sheet2!F$2:F$51,[1]Sheet2!J$2:J$51,"")</f>
        <v>1638356</v>
      </c>
      <c r="F4" s="42">
        <v>201128</v>
      </c>
      <c r="G4" s="41" t="s">
        <v>199</v>
      </c>
      <c r="H4" s="41" t="s">
        <v>175</v>
      </c>
      <c r="I4" s="41" t="s">
        <v>176</v>
      </c>
      <c r="J4" s="43">
        <v>45867</v>
      </c>
      <c r="K4" s="46" t="s">
        <v>200</v>
      </c>
      <c r="L4" s="46" t="s">
        <v>201</v>
      </c>
      <c r="M4" s="44" t="s">
        <v>195</v>
      </c>
      <c r="N4" s="41" t="s">
        <v>202</v>
      </c>
      <c r="O4" s="38" t="s">
        <v>193</v>
      </c>
      <c r="P4" s="41" t="s">
        <v>194</v>
      </c>
      <c r="Q4" s="41" t="s">
        <v>203</v>
      </c>
      <c r="R4" s="46">
        <v>44.241953116897903</v>
      </c>
      <c r="S4" s="46">
        <v>-69.767511659568399</v>
      </c>
      <c r="T4" s="41" t="s">
        <v>182</v>
      </c>
      <c r="U4" s="41" t="s">
        <v>183</v>
      </c>
      <c r="V4" s="38">
        <f>[1]tid.cln!T4/100</f>
        <v>1.74</v>
      </c>
      <c r="W4" s="42" t="s">
        <v>192</v>
      </c>
      <c r="X4" s="41" t="s">
        <v>184</v>
      </c>
      <c r="Y4" s="46"/>
      <c r="Z4" s="46"/>
      <c r="AA4" s="41" t="s">
        <v>254</v>
      </c>
      <c r="AB4" s="41" t="s">
        <v>185</v>
      </c>
      <c r="AC4" s="46"/>
      <c r="AD4" s="38" t="s">
        <v>192</v>
      </c>
      <c r="AE4" s="41" t="s">
        <v>186</v>
      </c>
      <c r="AF4" s="46"/>
      <c r="AG4" s="46"/>
      <c r="AH4" s="41" t="str">
        <f t="shared" si="0"/>
        <v>Kennebec River</v>
      </c>
      <c r="AI4" s="46">
        <f t="shared" si="0"/>
        <v>44.241953116897903</v>
      </c>
      <c r="AJ4" s="46">
        <f t="shared" si="0"/>
        <v>-69.767511659568399</v>
      </c>
      <c r="AK4" s="45">
        <v>45867</v>
      </c>
      <c r="AL4" s="47"/>
      <c r="AM4" s="42"/>
      <c r="AN4" s="46"/>
      <c r="AO4" s="46"/>
      <c r="AP4" s="46"/>
      <c r="AQ4" s="46"/>
      <c r="AR4" s="41" t="str">
        <f t="shared" si="1"/>
        <v>Kennebec River</v>
      </c>
      <c r="AS4" s="46"/>
      <c r="AT4" s="46"/>
      <c r="AU4" s="46"/>
      <c r="AV4" s="41" t="s">
        <v>187</v>
      </c>
      <c r="AW4" s="46"/>
      <c r="AX4" s="41" t="s">
        <v>187</v>
      </c>
      <c r="AY4" s="41" t="s">
        <v>188</v>
      </c>
      <c r="AZ4" s="46"/>
      <c r="BA4" s="46"/>
      <c r="BB4" s="46"/>
      <c r="BC4" s="46"/>
      <c r="BD4" s="46"/>
      <c r="BE4" s="46"/>
    </row>
    <row r="5" spans="1:73" ht="34.5" thickBot="1" x14ac:dyDescent="0.3">
      <c r="A5" s="49" t="s">
        <v>205</v>
      </c>
      <c r="B5" s="39" t="s">
        <v>173</v>
      </c>
      <c r="C5" s="40" t="s">
        <v>174</v>
      </c>
      <c r="D5" s="41" t="s">
        <v>198</v>
      </c>
      <c r="E5" s="46">
        <f>_xlfn.XLOOKUP(F5, [1]Sheet2!F$2:F$51,[1]Sheet2!J$2:J$51,"")</f>
        <v>1638358</v>
      </c>
      <c r="F5" s="42">
        <v>201130</v>
      </c>
      <c r="G5" s="41" t="s">
        <v>199</v>
      </c>
      <c r="H5" s="41" t="s">
        <v>175</v>
      </c>
      <c r="I5" s="41" t="s">
        <v>176</v>
      </c>
      <c r="J5" s="43">
        <v>45867</v>
      </c>
      <c r="K5" s="46" t="s">
        <v>200</v>
      </c>
      <c r="L5" s="46" t="s">
        <v>201</v>
      </c>
      <c r="M5" s="44" t="s">
        <v>195</v>
      </c>
      <c r="N5" s="41" t="s">
        <v>202</v>
      </c>
      <c r="O5" s="38" t="s">
        <v>193</v>
      </c>
      <c r="P5" s="41" t="s">
        <v>194</v>
      </c>
      <c r="Q5" s="41" t="s">
        <v>203</v>
      </c>
      <c r="R5" s="46">
        <v>44.241953116897903</v>
      </c>
      <c r="S5" s="46">
        <v>-69.767511659568399</v>
      </c>
      <c r="T5" s="41" t="s">
        <v>182</v>
      </c>
      <c r="U5" s="41" t="s">
        <v>183</v>
      </c>
      <c r="V5" s="38">
        <f>[1]tid.cln!T5/100</f>
        <v>1.34</v>
      </c>
      <c r="W5" s="42" t="s">
        <v>192</v>
      </c>
      <c r="X5" s="41" t="s">
        <v>184</v>
      </c>
      <c r="Y5" s="46"/>
      <c r="Z5" s="46"/>
      <c r="AA5" s="41" t="s">
        <v>254</v>
      </c>
      <c r="AB5" s="41" t="s">
        <v>185</v>
      </c>
      <c r="AC5" s="46"/>
      <c r="AD5" s="38" t="s">
        <v>192</v>
      </c>
      <c r="AE5" s="41" t="s">
        <v>186</v>
      </c>
      <c r="AF5" s="46"/>
      <c r="AG5" s="46"/>
      <c r="AH5" s="41" t="str">
        <f t="shared" si="0"/>
        <v>Kennebec River</v>
      </c>
      <c r="AI5" s="46">
        <f t="shared" si="0"/>
        <v>44.241953116897903</v>
      </c>
      <c r="AJ5" s="46">
        <f t="shared" si="0"/>
        <v>-69.767511659568399</v>
      </c>
      <c r="AK5" s="45">
        <v>45867</v>
      </c>
      <c r="AL5" s="47"/>
      <c r="AM5" s="42"/>
      <c r="AN5" s="46"/>
      <c r="AO5" s="46"/>
      <c r="AP5" s="46"/>
      <c r="AQ5" s="46"/>
      <c r="AR5" s="41" t="str">
        <f t="shared" si="1"/>
        <v>Kennebec River</v>
      </c>
      <c r="AS5" s="46"/>
      <c r="AT5" s="46"/>
      <c r="AU5" s="46"/>
      <c r="AV5" s="41" t="s">
        <v>187</v>
      </c>
      <c r="AW5" s="46"/>
      <c r="AX5" s="41" t="s">
        <v>187</v>
      </c>
      <c r="AY5" s="41" t="s">
        <v>188</v>
      </c>
      <c r="AZ5" s="46"/>
      <c r="BA5" s="46"/>
      <c r="BB5" s="46"/>
      <c r="BC5" s="46"/>
      <c r="BD5" s="46"/>
      <c r="BE5" s="46"/>
    </row>
    <row r="6" spans="1:73" ht="34.5" thickBot="1" x14ac:dyDescent="0.3">
      <c r="A6" s="49" t="s">
        <v>206</v>
      </c>
      <c r="B6" s="39" t="s">
        <v>173</v>
      </c>
      <c r="C6" s="40" t="s">
        <v>174</v>
      </c>
      <c r="D6" s="41" t="s">
        <v>198</v>
      </c>
      <c r="E6" s="46">
        <f>_xlfn.XLOOKUP(F6, [1]Sheet2!F$2:F$51,[1]Sheet2!J$2:J$51,"")</f>
        <v>1638359</v>
      </c>
      <c r="F6" s="42">
        <v>201131</v>
      </c>
      <c r="G6" s="41" t="s">
        <v>199</v>
      </c>
      <c r="H6" s="41" t="s">
        <v>175</v>
      </c>
      <c r="I6" s="41" t="s">
        <v>176</v>
      </c>
      <c r="J6" s="43">
        <v>45867</v>
      </c>
      <c r="K6" s="46" t="s">
        <v>200</v>
      </c>
      <c r="L6" s="46" t="s">
        <v>201</v>
      </c>
      <c r="M6" s="44" t="s">
        <v>195</v>
      </c>
      <c r="N6" s="41" t="s">
        <v>202</v>
      </c>
      <c r="O6" s="38" t="s">
        <v>193</v>
      </c>
      <c r="P6" s="41" t="s">
        <v>194</v>
      </c>
      <c r="Q6" s="41" t="s">
        <v>203</v>
      </c>
      <c r="R6" s="46">
        <v>44.241953116897903</v>
      </c>
      <c r="S6" s="46">
        <v>-69.767511659568399</v>
      </c>
      <c r="T6" s="41" t="s">
        <v>182</v>
      </c>
      <c r="U6" s="41" t="s">
        <v>183</v>
      </c>
      <c r="V6" s="38">
        <f>[1]tid.cln!T6/100</f>
        <v>1.56</v>
      </c>
      <c r="W6" s="42" t="s">
        <v>192</v>
      </c>
      <c r="X6" s="41" t="s">
        <v>184</v>
      </c>
      <c r="Y6" s="46"/>
      <c r="Z6" s="46"/>
      <c r="AA6" s="41" t="s">
        <v>254</v>
      </c>
      <c r="AB6" s="41" t="s">
        <v>185</v>
      </c>
      <c r="AC6" s="46"/>
      <c r="AD6" s="38" t="s">
        <v>192</v>
      </c>
      <c r="AE6" s="41" t="s">
        <v>186</v>
      </c>
      <c r="AF6" s="46"/>
      <c r="AG6" s="46"/>
      <c r="AH6" s="41" t="str">
        <f t="shared" si="0"/>
        <v>Kennebec River</v>
      </c>
      <c r="AI6" s="46">
        <f t="shared" si="0"/>
        <v>44.241953116897903</v>
      </c>
      <c r="AJ6" s="46">
        <f t="shared" si="0"/>
        <v>-69.767511659568399</v>
      </c>
      <c r="AK6" s="45">
        <v>45867</v>
      </c>
      <c r="AL6" s="47"/>
      <c r="AM6" s="42"/>
      <c r="AN6" s="46"/>
      <c r="AO6" s="46"/>
      <c r="AP6" s="46"/>
      <c r="AQ6" s="46"/>
      <c r="AR6" s="41" t="str">
        <f t="shared" si="1"/>
        <v>Kennebec River</v>
      </c>
      <c r="AS6" s="46"/>
      <c r="AT6" s="46"/>
      <c r="AU6" s="46"/>
      <c r="AV6" s="41" t="s">
        <v>187</v>
      </c>
      <c r="AW6" s="46"/>
      <c r="AX6" s="41" t="s">
        <v>187</v>
      </c>
      <c r="AY6" s="41" t="s">
        <v>188</v>
      </c>
      <c r="AZ6" s="46"/>
      <c r="BA6" s="46"/>
      <c r="BB6" s="46"/>
      <c r="BC6" s="46"/>
      <c r="BD6" s="46"/>
      <c r="BE6" s="46"/>
    </row>
    <row r="7" spans="1:73" ht="34.5" thickBot="1" x14ac:dyDescent="0.3">
      <c r="A7" s="49" t="s">
        <v>207</v>
      </c>
      <c r="B7" s="39" t="s">
        <v>173</v>
      </c>
      <c r="C7" s="40" t="s">
        <v>174</v>
      </c>
      <c r="D7" s="41" t="s">
        <v>198</v>
      </c>
      <c r="E7" s="46">
        <f>_xlfn.XLOOKUP(F7, [1]Sheet2!F$2:F$51,[1]Sheet2!J$2:J$51,"")</f>
        <v>1638360</v>
      </c>
      <c r="F7" s="42">
        <v>201132</v>
      </c>
      <c r="G7" s="41" t="s">
        <v>199</v>
      </c>
      <c r="H7" s="41" t="s">
        <v>175</v>
      </c>
      <c r="I7" s="41" t="s">
        <v>176</v>
      </c>
      <c r="J7" s="43">
        <v>45867</v>
      </c>
      <c r="K7" s="46" t="s">
        <v>200</v>
      </c>
      <c r="L7" s="46" t="s">
        <v>201</v>
      </c>
      <c r="M7" s="44" t="s">
        <v>195</v>
      </c>
      <c r="N7" s="41" t="s">
        <v>202</v>
      </c>
      <c r="O7" s="38" t="s">
        <v>193</v>
      </c>
      <c r="P7" s="41" t="s">
        <v>194</v>
      </c>
      <c r="Q7" s="41" t="s">
        <v>203</v>
      </c>
      <c r="R7" s="46">
        <v>44.241953116897903</v>
      </c>
      <c r="S7" s="46">
        <v>-69.767511659568399</v>
      </c>
      <c r="T7" s="41" t="s">
        <v>182</v>
      </c>
      <c r="U7" s="41" t="s">
        <v>183</v>
      </c>
      <c r="V7" s="38">
        <f>[1]tid.cln!T7/100</f>
        <v>1.49</v>
      </c>
      <c r="W7" s="42" t="s">
        <v>192</v>
      </c>
      <c r="X7" s="41" t="s">
        <v>184</v>
      </c>
      <c r="Y7" s="46"/>
      <c r="Z7" s="46"/>
      <c r="AA7" s="41" t="s">
        <v>254</v>
      </c>
      <c r="AB7" s="41" t="s">
        <v>185</v>
      </c>
      <c r="AC7" s="46"/>
      <c r="AD7" s="38" t="s">
        <v>192</v>
      </c>
      <c r="AE7" s="41" t="s">
        <v>186</v>
      </c>
      <c r="AF7" s="46"/>
      <c r="AG7" s="46"/>
      <c r="AH7" s="41" t="str">
        <f t="shared" si="0"/>
        <v>Kennebec River</v>
      </c>
      <c r="AI7" s="46">
        <f t="shared" si="0"/>
        <v>44.241953116897903</v>
      </c>
      <c r="AJ7" s="46">
        <f t="shared" si="0"/>
        <v>-69.767511659568399</v>
      </c>
      <c r="AK7" s="45">
        <v>45867</v>
      </c>
      <c r="AL7" s="47"/>
      <c r="AM7" s="42"/>
      <c r="AN7" s="46"/>
      <c r="AO7" s="46"/>
      <c r="AP7" s="46"/>
      <c r="AQ7" s="46"/>
      <c r="AR7" s="41" t="str">
        <f t="shared" si="1"/>
        <v>Kennebec River</v>
      </c>
      <c r="AS7" s="46"/>
      <c r="AT7" s="46"/>
      <c r="AU7" s="46"/>
      <c r="AV7" s="41" t="s">
        <v>187</v>
      </c>
      <c r="AW7" s="46"/>
      <c r="AX7" s="41" t="s">
        <v>187</v>
      </c>
      <c r="AY7" s="41" t="s">
        <v>188</v>
      </c>
      <c r="AZ7" s="46"/>
      <c r="BA7" s="46"/>
      <c r="BB7" s="46"/>
      <c r="BC7" s="46"/>
      <c r="BD7" s="46"/>
      <c r="BE7" s="46"/>
    </row>
    <row r="8" spans="1:73" ht="34.5" thickBot="1" x14ac:dyDescent="0.3">
      <c r="A8" s="49" t="s">
        <v>208</v>
      </c>
      <c r="B8" s="39" t="s">
        <v>173</v>
      </c>
      <c r="C8" s="40" t="s">
        <v>174</v>
      </c>
      <c r="D8" s="41" t="s">
        <v>198</v>
      </c>
      <c r="E8" s="46">
        <f>_xlfn.XLOOKUP(F8, [1]Sheet2!F$2:F$51,[1]Sheet2!J$2:J$51,"")</f>
        <v>1638361</v>
      </c>
      <c r="F8" s="42">
        <v>201133</v>
      </c>
      <c r="G8" s="41" t="s">
        <v>199</v>
      </c>
      <c r="H8" s="41" t="s">
        <v>175</v>
      </c>
      <c r="I8" s="41" t="s">
        <v>176</v>
      </c>
      <c r="J8" s="43">
        <v>45867</v>
      </c>
      <c r="K8" s="46" t="s">
        <v>200</v>
      </c>
      <c r="L8" s="46" t="s">
        <v>201</v>
      </c>
      <c r="M8" s="44" t="s">
        <v>195</v>
      </c>
      <c r="N8" s="41" t="s">
        <v>202</v>
      </c>
      <c r="O8" s="38" t="s">
        <v>193</v>
      </c>
      <c r="P8" s="41" t="s">
        <v>194</v>
      </c>
      <c r="Q8" s="41" t="s">
        <v>203</v>
      </c>
      <c r="R8" s="46">
        <v>44.241953116897903</v>
      </c>
      <c r="S8" s="46">
        <v>-69.767511659568399</v>
      </c>
      <c r="T8" s="41" t="s">
        <v>182</v>
      </c>
      <c r="U8" s="41" t="s">
        <v>183</v>
      </c>
      <c r="V8" s="38">
        <f>[1]tid.cln!T8/100</f>
        <v>1.38</v>
      </c>
      <c r="W8" s="42" t="s">
        <v>192</v>
      </c>
      <c r="X8" s="41" t="s">
        <v>184</v>
      </c>
      <c r="Y8" s="46"/>
      <c r="Z8" s="46"/>
      <c r="AA8" s="41" t="s">
        <v>254</v>
      </c>
      <c r="AB8" s="41" t="s">
        <v>185</v>
      </c>
      <c r="AC8" s="46"/>
      <c r="AD8" s="38" t="s">
        <v>192</v>
      </c>
      <c r="AE8" s="41" t="s">
        <v>186</v>
      </c>
      <c r="AF8" s="46"/>
      <c r="AG8" s="46"/>
      <c r="AH8" s="41" t="str">
        <f t="shared" si="0"/>
        <v>Kennebec River</v>
      </c>
      <c r="AI8" s="46">
        <f t="shared" si="0"/>
        <v>44.241953116897903</v>
      </c>
      <c r="AJ8" s="46">
        <f t="shared" si="0"/>
        <v>-69.767511659568399</v>
      </c>
      <c r="AK8" s="45">
        <v>45867</v>
      </c>
      <c r="AL8" s="47"/>
      <c r="AM8" s="42"/>
      <c r="AN8" s="46"/>
      <c r="AO8" s="46"/>
      <c r="AP8" s="46"/>
      <c r="AQ8" s="46"/>
      <c r="AR8" s="41" t="str">
        <f t="shared" si="1"/>
        <v>Kennebec River</v>
      </c>
      <c r="AS8" s="46"/>
      <c r="AT8" s="46"/>
      <c r="AU8" s="46"/>
      <c r="AV8" s="41" t="s">
        <v>187</v>
      </c>
      <c r="AW8" s="46"/>
      <c r="AX8" s="41" t="s">
        <v>187</v>
      </c>
      <c r="AY8" s="41" t="s">
        <v>188</v>
      </c>
      <c r="AZ8" s="46"/>
      <c r="BA8" s="46"/>
      <c r="BB8" s="46"/>
      <c r="BC8" s="46"/>
      <c r="BD8" s="46"/>
      <c r="BE8" s="46"/>
    </row>
    <row r="9" spans="1:73" ht="34.5" thickBot="1" x14ac:dyDescent="0.3">
      <c r="A9" s="49" t="s">
        <v>209</v>
      </c>
      <c r="B9" s="39" t="s">
        <v>173</v>
      </c>
      <c r="C9" s="40" t="s">
        <v>174</v>
      </c>
      <c r="D9" s="41" t="s">
        <v>198</v>
      </c>
      <c r="E9" s="46">
        <f>_xlfn.XLOOKUP(F9, [1]Sheet2!F$2:F$51,[1]Sheet2!J$2:J$51,"")</f>
        <v>1638362</v>
      </c>
      <c r="F9" s="42">
        <v>201134</v>
      </c>
      <c r="G9" s="41" t="s">
        <v>199</v>
      </c>
      <c r="H9" s="41" t="s">
        <v>175</v>
      </c>
      <c r="I9" s="41" t="s">
        <v>176</v>
      </c>
      <c r="J9" s="43">
        <v>45867</v>
      </c>
      <c r="K9" s="46" t="s">
        <v>200</v>
      </c>
      <c r="L9" s="46" t="s">
        <v>201</v>
      </c>
      <c r="M9" s="44" t="s">
        <v>195</v>
      </c>
      <c r="N9" s="41" t="s">
        <v>202</v>
      </c>
      <c r="O9" s="38" t="s">
        <v>193</v>
      </c>
      <c r="P9" s="41" t="s">
        <v>194</v>
      </c>
      <c r="Q9" s="41" t="s">
        <v>203</v>
      </c>
      <c r="R9" s="46">
        <v>44.241953116897903</v>
      </c>
      <c r="S9" s="46">
        <v>-69.767511659568399</v>
      </c>
      <c r="T9" s="41" t="s">
        <v>182</v>
      </c>
      <c r="U9" s="41" t="s">
        <v>183</v>
      </c>
      <c r="V9" s="38">
        <f>[1]tid.cln!T9/100</f>
        <v>1.1599999999999999</v>
      </c>
      <c r="W9" s="42" t="s">
        <v>192</v>
      </c>
      <c r="X9" s="41" t="s">
        <v>184</v>
      </c>
      <c r="Y9" s="46"/>
      <c r="Z9" s="46"/>
      <c r="AA9" s="41" t="s">
        <v>254</v>
      </c>
      <c r="AB9" s="41" t="s">
        <v>185</v>
      </c>
      <c r="AC9" s="46"/>
      <c r="AD9" s="38" t="s">
        <v>192</v>
      </c>
      <c r="AE9" s="41" t="s">
        <v>186</v>
      </c>
      <c r="AF9" s="46"/>
      <c r="AG9" s="46"/>
      <c r="AH9" s="41" t="str">
        <f t="shared" si="0"/>
        <v>Kennebec River</v>
      </c>
      <c r="AI9" s="46">
        <f t="shared" si="0"/>
        <v>44.241953116897903</v>
      </c>
      <c r="AJ9" s="46">
        <f t="shared" si="0"/>
        <v>-69.767511659568399</v>
      </c>
      <c r="AK9" s="45">
        <v>45867</v>
      </c>
      <c r="AL9" s="47"/>
      <c r="AM9" s="42"/>
      <c r="AN9" s="46"/>
      <c r="AO9" s="46"/>
      <c r="AP9" s="46"/>
      <c r="AQ9" s="46"/>
      <c r="AR9" s="41" t="str">
        <f t="shared" si="1"/>
        <v>Kennebec River</v>
      </c>
      <c r="AS9" s="46"/>
      <c r="AT9" s="46"/>
      <c r="AU9" s="46"/>
      <c r="AV9" s="41" t="s">
        <v>187</v>
      </c>
      <c r="AW9" s="46"/>
      <c r="AX9" s="41" t="s">
        <v>187</v>
      </c>
      <c r="AY9" s="41" t="s">
        <v>188</v>
      </c>
      <c r="AZ9" s="46"/>
      <c r="BA9" s="46"/>
      <c r="BB9" s="46"/>
      <c r="BC9" s="46"/>
      <c r="BD9" s="46"/>
      <c r="BE9" s="46"/>
    </row>
    <row r="10" spans="1:73" ht="34.5" thickBot="1" x14ac:dyDescent="0.3">
      <c r="A10" s="49" t="s">
        <v>210</v>
      </c>
      <c r="B10" s="39" t="s">
        <v>173</v>
      </c>
      <c r="C10" s="40" t="s">
        <v>174</v>
      </c>
      <c r="D10" s="41" t="s">
        <v>198</v>
      </c>
      <c r="E10" s="46">
        <f>_xlfn.XLOOKUP(F10, [1]Sheet2!F$2:F$51,[1]Sheet2!J$2:J$51,"")</f>
        <v>1645258</v>
      </c>
      <c r="F10" s="42">
        <v>201212</v>
      </c>
      <c r="G10" s="41" t="s">
        <v>199</v>
      </c>
      <c r="H10" s="41" t="s">
        <v>175</v>
      </c>
      <c r="I10" s="41" t="s">
        <v>176</v>
      </c>
      <c r="J10" s="43">
        <v>45867</v>
      </c>
      <c r="K10" s="46" t="s">
        <v>200</v>
      </c>
      <c r="L10" s="46" t="s">
        <v>201</v>
      </c>
      <c r="M10" s="44" t="s">
        <v>195</v>
      </c>
      <c r="N10" s="41" t="s">
        <v>202</v>
      </c>
      <c r="O10" s="38" t="s">
        <v>193</v>
      </c>
      <c r="P10" s="41" t="s">
        <v>194</v>
      </c>
      <c r="Q10" s="41" t="s">
        <v>203</v>
      </c>
      <c r="R10" s="46">
        <v>44.241953116897903</v>
      </c>
      <c r="S10" s="46">
        <v>-69.767511659568399</v>
      </c>
      <c r="T10" s="41" t="s">
        <v>182</v>
      </c>
      <c r="U10" s="41" t="s">
        <v>183</v>
      </c>
      <c r="V10" s="38">
        <f>[1]tid.cln!T10/100</f>
        <v>1.47</v>
      </c>
      <c r="W10" s="42" t="s">
        <v>192</v>
      </c>
      <c r="X10" s="41" t="s">
        <v>184</v>
      </c>
      <c r="Y10" s="46"/>
      <c r="Z10" s="46"/>
      <c r="AA10" s="41" t="s">
        <v>254</v>
      </c>
      <c r="AB10" s="41" t="s">
        <v>185</v>
      </c>
      <c r="AC10" s="46"/>
      <c r="AD10" s="38" t="s">
        <v>211</v>
      </c>
      <c r="AE10" s="41" t="s">
        <v>186</v>
      </c>
      <c r="AF10" s="46"/>
      <c r="AG10" s="46"/>
      <c r="AH10" s="41" t="str">
        <f t="shared" si="0"/>
        <v>Kennebec River</v>
      </c>
      <c r="AI10" s="46">
        <f t="shared" si="0"/>
        <v>44.241953116897903</v>
      </c>
      <c r="AJ10" s="46">
        <f t="shared" si="0"/>
        <v>-69.767511659568399</v>
      </c>
      <c r="AK10" s="45">
        <v>45867</v>
      </c>
      <c r="AL10" s="47"/>
      <c r="AM10" s="42"/>
      <c r="AN10" s="46"/>
      <c r="AO10" s="46"/>
      <c r="AP10" s="46"/>
      <c r="AQ10" s="46"/>
      <c r="AR10" s="41" t="str">
        <f t="shared" si="1"/>
        <v>Kennebec River</v>
      </c>
      <c r="AS10" s="46"/>
      <c r="AT10" s="46"/>
      <c r="AU10" s="46"/>
      <c r="AV10" s="41" t="s">
        <v>187</v>
      </c>
      <c r="AW10" s="46"/>
      <c r="AX10" s="41" t="s">
        <v>187</v>
      </c>
      <c r="AY10" s="41" t="s">
        <v>188</v>
      </c>
      <c r="AZ10" s="46"/>
      <c r="BA10" s="46"/>
      <c r="BB10" s="46"/>
      <c r="BC10" s="46"/>
      <c r="BD10" s="46"/>
      <c r="BE10" s="46"/>
    </row>
    <row r="11" spans="1:73" ht="34.5" thickBot="1" x14ac:dyDescent="0.3">
      <c r="A11" s="49" t="s">
        <v>212</v>
      </c>
      <c r="B11" s="39" t="s">
        <v>173</v>
      </c>
      <c r="C11" s="40" t="s">
        <v>174</v>
      </c>
      <c r="D11" s="41" t="s">
        <v>198</v>
      </c>
      <c r="E11" s="46">
        <f>_xlfn.XLOOKUP(F11, [1]Sheet2!F$2:F$51,[1]Sheet2!J$2:J$51,"")</f>
        <v>1645261</v>
      </c>
      <c r="F11" s="42">
        <v>201215</v>
      </c>
      <c r="G11" s="41" t="s">
        <v>199</v>
      </c>
      <c r="H11" s="41" t="s">
        <v>175</v>
      </c>
      <c r="I11" s="41" t="s">
        <v>176</v>
      </c>
      <c r="J11" s="43">
        <v>45867</v>
      </c>
      <c r="K11" s="46" t="s">
        <v>200</v>
      </c>
      <c r="L11" s="46" t="s">
        <v>201</v>
      </c>
      <c r="M11" s="44" t="s">
        <v>195</v>
      </c>
      <c r="N11" s="41" t="s">
        <v>202</v>
      </c>
      <c r="O11" s="38" t="s">
        <v>193</v>
      </c>
      <c r="P11" s="41" t="s">
        <v>194</v>
      </c>
      <c r="Q11" s="41" t="s">
        <v>203</v>
      </c>
      <c r="R11" s="46">
        <v>44.241953116897903</v>
      </c>
      <c r="S11" s="46">
        <v>-69.767511659568399</v>
      </c>
      <c r="T11" s="41" t="s">
        <v>182</v>
      </c>
      <c r="U11" s="41" t="s">
        <v>183</v>
      </c>
      <c r="V11" s="38">
        <f>[1]tid.cln!T11/100</f>
        <v>1.43</v>
      </c>
      <c r="W11" s="42" t="s">
        <v>192</v>
      </c>
      <c r="X11" s="41" t="s">
        <v>184</v>
      </c>
      <c r="Y11" s="46"/>
      <c r="Z11" s="46"/>
      <c r="AA11" s="41" t="s">
        <v>254</v>
      </c>
      <c r="AB11" s="41" t="s">
        <v>185</v>
      </c>
      <c r="AC11" s="46"/>
      <c r="AD11" s="38" t="s">
        <v>211</v>
      </c>
      <c r="AE11" s="41" t="s">
        <v>186</v>
      </c>
      <c r="AF11" s="46"/>
      <c r="AG11" s="46"/>
      <c r="AH11" s="41" t="str">
        <f t="shared" si="0"/>
        <v>Kennebec River</v>
      </c>
      <c r="AI11" s="46">
        <f t="shared" si="0"/>
        <v>44.241953116897903</v>
      </c>
      <c r="AJ11" s="46">
        <f t="shared" si="0"/>
        <v>-69.767511659568399</v>
      </c>
      <c r="AK11" s="45">
        <v>45867</v>
      </c>
      <c r="AL11" s="47"/>
      <c r="AM11" s="42"/>
      <c r="AN11" s="46"/>
      <c r="AO11" s="46"/>
      <c r="AP11" s="46"/>
      <c r="AQ11" s="46"/>
      <c r="AR11" s="41" t="str">
        <f t="shared" si="1"/>
        <v>Kennebec River</v>
      </c>
      <c r="AS11" s="46"/>
      <c r="AT11" s="46"/>
      <c r="AU11" s="46"/>
      <c r="AV11" s="41" t="s">
        <v>187</v>
      </c>
      <c r="AW11" s="46"/>
      <c r="AX11" s="41" t="s">
        <v>187</v>
      </c>
      <c r="AY11" s="41" t="s">
        <v>188</v>
      </c>
      <c r="AZ11" s="46"/>
      <c r="BA11" s="46"/>
      <c r="BB11" s="46"/>
      <c r="BC11" s="46"/>
      <c r="BD11" s="46"/>
      <c r="BE11" s="46"/>
    </row>
    <row r="12" spans="1:73" ht="34.5" thickBot="1" x14ac:dyDescent="0.3">
      <c r="A12" s="49" t="s">
        <v>213</v>
      </c>
      <c r="B12" s="39" t="s">
        <v>173</v>
      </c>
      <c r="C12" s="40" t="s">
        <v>174</v>
      </c>
      <c r="D12" s="41" t="s">
        <v>198</v>
      </c>
      <c r="E12" s="46">
        <f>_xlfn.XLOOKUP(F12, [1]Sheet2!F$2:F$51,[1]Sheet2!J$2:J$51,"")</f>
        <v>1645274</v>
      </c>
      <c r="F12" s="42">
        <v>201228</v>
      </c>
      <c r="G12" s="41" t="s">
        <v>199</v>
      </c>
      <c r="H12" s="41" t="s">
        <v>175</v>
      </c>
      <c r="I12" s="41" t="s">
        <v>176</v>
      </c>
      <c r="J12" s="43">
        <v>45867</v>
      </c>
      <c r="K12" s="46" t="s">
        <v>200</v>
      </c>
      <c r="L12" s="46" t="s">
        <v>201</v>
      </c>
      <c r="M12" s="44" t="s">
        <v>195</v>
      </c>
      <c r="N12" s="41" t="s">
        <v>202</v>
      </c>
      <c r="O12" s="38" t="s">
        <v>193</v>
      </c>
      <c r="P12" s="41" t="s">
        <v>194</v>
      </c>
      <c r="Q12" s="41" t="s">
        <v>203</v>
      </c>
      <c r="R12" s="46">
        <v>44.241953116897903</v>
      </c>
      <c r="S12" s="46">
        <v>-69.767511659568399</v>
      </c>
      <c r="T12" s="41" t="s">
        <v>182</v>
      </c>
      <c r="U12" s="41" t="s">
        <v>183</v>
      </c>
      <c r="V12" s="38">
        <f>[1]tid.cln!T12/100</f>
        <v>1.97</v>
      </c>
      <c r="W12" s="42" t="s">
        <v>192</v>
      </c>
      <c r="X12" s="41" t="s">
        <v>184</v>
      </c>
      <c r="Y12" s="46"/>
      <c r="Z12" s="46"/>
      <c r="AA12" s="41" t="s">
        <v>254</v>
      </c>
      <c r="AB12" s="41" t="s">
        <v>185</v>
      </c>
      <c r="AC12" s="46"/>
      <c r="AD12" s="38" t="s">
        <v>192</v>
      </c>
      <c r="AE12" s="41" t="s">
        <v>186</v>
      </c>
      <c r="AF12" s="46"/>
      <c r="AG12" s="46"/>
      <c r="AH12" s="41" t="str">
        <f t="shared" si="0"/>
        <v>Kennebec River</v>
      </c>
      <c r="AI12" s="46">
        <f t="shared" si="0"/>
        <v>44.241953116897903</v>
      </c>
      <c r="AJ12" s="46">
        <f t="shared" si="0"/>
        <v>-69.767511659568399</v>
      </c>
      <c r="AK12" s="45">
        <v>45867</v>
      </c>
      <c r="AL12" s="47"/>
      <c r="AM12" s="42"/>
      <c r="AN12" s="46"/>
      <c r="AO12" s="46"/>
      <c r="AP12" s="46"/>
      <c r="AQ12" s="46"/>
      <c r="AR12" s="41" t="str">
        <f t="shared" si="1"/>
        <v>Kennebec River</v>
      </c>
      <c r="AS12" s="46"/>
      <c r="AT12" s="46"/>
      <c r="AU12" s="46"/>
      <c r="AV12" s="41" t="s">
        <v>187</v>
      </c>
      <c r="AW12" s="46"/>
      <c r="AX12" s="41" t="s">
        <v>187</v>
      </c>
      <c r="AY12" s="41" t="s">
        <v>188</v>
      </c>
      <c r="AZ12" s="46"/>
      <c r="BA12" s="46"/>
      <c r="BB12" s="46"/>
      <c r="BC12" s="46"/>
      <c r="BD12" s="46"/>
      <c r="BE12" s="46"/>
    </row>
    <row r="13" spans="1:73" ht="34.5" thickBot="1" x14ac:dyDescent="0.3">
      <c r="A13" s="49" t="s">
        <v>214</v>
      </c>
      <c r="B13" s="39" t="s">
        <v>173</v>
      </c>
      <c r="C13" s="40" t="s">
        <v>174</v>
      </c>
      <c r="D13" s="41" t="s">
        <v>198</v>
      </c>
      <c r="E13" s="46">
        <f>_xlfn.XLOOKUP(F13, [1]Sheet2!F$2:F$51,[1]Sheet2!J$2:J$51,"")</f>
        <v>1638357</v>
      </c>
      <c r="F13" s="42">
        <v>201129</v>
      </c>
      <c r="G13" s="41" t="s">
        <v>199</v>
      </c>
      <c r="H13" s="41" t="s">
        <v>175</v>
      </c>
      <c r="I13" s="41" t="s">
        <v>176</v>
      </c>
      <c r="J13" s="43">
        <v>45873</v>
      </c>
      <c r="K13" s="46" t="s">
        <v>200</v>
      </c>
      <c r="L13" s="46" t="s">
        <v>201</v>
      </c>
      <c r="M13" s="44" t="s">
        <v>195</v>
      </c>
      <c r="N13" s="41" t="s">
        <v>202</v>
      </c>
      <c r="O13" s="38" t="s">
        <v>179</v>
      </c>
      <c r="P13" s="41" t="s">
        <v>180</v>
      </c>
      <c r="Q13" s="41" t="s">
        <v>203</v>
      </c>
      <c r="R13" s="46">
        <v>44.271890354728697</v>
      </c>
      <c r="S13" s="46">
        <v>-69.785756708305897</v>
      </c>
      <c r="T13" s="41" t="s">
        <v>182</v>
      </c>
      <c r="U13" s="41" t="s">
        <v>183</v>
      </c>
      <c r="V13" s="38">
        <f>[1]tid.cln!T13/100</f>
        <v>0.74</v>
      </c>
      <c r="W13" s="42" t="s">
        <v>192</v>
      </c>
      <c r="X13" s="41" t="s">
        <v>184</v>
      </c>
      <c r="Y13" s="46"/>
      <c r="Z13" s="46"/>
      <c r="AA13" s="41" t="s">
        <v>254</v>
      </c>
      <c r="AB13" s="41" t="s">
        <v>185</v>
      </c>
      <c r="AC13" s="46"/>
      <c r="AD13" s="38" t="s">
        <v>192</v>
      </c>
      <c r="AE13" s="41" t="s">
        <v>186</v>
      </c>
      <c r="AF13" s="46"/>
      <c r="AG13" s="46"/>
      <c r="AH13" s="41" t="str">
        <f t="shared" si="0"/>
        <v>Kennebec River</v>
      </c>
      <c r="AI13" s="46">
        <f t="shared" si="0"/>
        <v>44.271890354728697</v>
      </c>
      <c r="AJ13" s="46">
        <f t="shared" si="0"/>
        <v>-69.785756708305897</v>
      </c>
      <c r="AK13" s="45">
        <v>45873</v>
      </c>
      <c r="AL13" s="47"/>
      <c r="AM13" s="42"/>
      <c r="AN13" s="46"/>
      <c r="AO13" s="46"/>
      <c r="AP13" s="46"/>
      <c r="AQ13" s="46"/>
      <c r="AR13" s="41" t="str">
        <f t="shared" si="1"/>
        <v>Kennebec River</v>
      </c>
      <c r="AS13" s="46"/>
      <c r="AT13" s="46"/>
      <c r="AU13" s="46"/>
      <c r="AV13" s="41" t="s">
        <v>187</v>
      </c>
      <c r="AW13" s="46"/>
      <c r="AX13" s="41" t="s">
        <v>187</v>
      </c>
      <c r="AY13" s="41" t="s">
        <v>188</v>
      </c>
      <c r="AZ13" s="46"/>
      <c r="BA13" s="46"/>
      <c r="BB13" s="46"/>
      <c r="BC13" s="46"/>
      <c r="BD13" s="46"/>
      <c r="BE13" s="46"/>
    </row>
    <row r="14" spans="1:73" ht="34.5" thickBot="1" x14ac:dyDescent="0.3">
      <c r="A14" s="49" t="s">
        <v>215</v>
      </c>
      <c r="B14" s="39" t="s">
        <v>173</v>
      </c>
      <c r="C14" s="40" t="s">
        <v>174</v>
      </c>
      <c r="D14" s="41" t="s">
        <v>198</v>
      </c>
      <c r="E14" s="46">
        <f>_xlfn.XLOOKUP(F14, [1]Sheet2!F$2:F$51,[1]Sheet2!J$2:J$51,"")</f>
        <v>1645259</v>
      </c>
      <c r="F14" s="42">
        <v>201213</v>
      </c>
      <c r="G14" s="41" t="s">
        <v>199</v>
      </c>
      <c r="H14" s="41" t="s">
        <v>175</v>
      </c>
      <c r="I14" s="41" t="s">
        <v>176</v>
      </c>
      <c r="J14" s="43">
        <v>45873</v>
      </c>
      <c r="K14" s="46" t="s">
        <v>200</v>
      </c>
      <c r="L14" s="46" t="s">
        <v>201</v>
      </c>
      <c r="M14" s="44" t="s">
        <v>195</v>
      </c>
      <c r="N14" s="41" t="s">
        <v>202</v>
      </c>
      <c r="O14" s="38" t="s">
        <v>179</v>
      </c>
      <c r="P14" s="41" t="s">
        <v>180</v>
      </c>
      <c r="Q14" s="41" t="s">
        <v>203</v>
      </c>
      <c r="R14" s="46">
        <v>44.271890354728697</v>
      </c>
      <c r="S14" s="46">
        <v>-69.785756708305897</v>
      </c>
      <c r="T14" s="41" t="s">
        <v>182</v>
      </c>
      <c r="U14" s="41" t="s">
        <v>183</v>
      </c>
      <c r="V14" s="38">
        <f>[1]tid.cln!T14/100</f>
        <v>0.59</v>
      </c>
      <c r="W14" s="42" t="s">
        <v>192</v>
      </c>
      <c r="X14" s="41" t="s">
        <v>184</v>
      </c>
      <c r="Y14" s="46"/>
      <c r="Z14" s="46"/>
      <c r="AA14" s="41" t="s">
        <v>254</v>
      </c>
      <c r="AB14" s="41" t="s">
        <v>185</v>
      </c>
      <c r="AC14" s="46"/>
      <c r="AD14" s="38" t="s">
        <v>192</v>
      </c>
      <c r="AE14" s="41" t="s">
        <v>186</v>
      </c>
      <c r="AF14" s="46"/>
      <c r="AG14" s="46"/>
      <c r="AH14" s="41" t="str">
        <f t="shared" si="0"/>
        <v>Kennebec River</v>
      </c>
      <c r="AI14" s="46">
        <f t="shared" si="0"/>
        <v>44.271890354728697</v>
      </c>
      <c r="AJ14" s="46">
        <f t="shared" si="0"/>
        <v>-69.785756708305897</v>
      </c>
      <c r="AK14" s="45">
        <v>45873</v>
      </c>
      <c r="AL14" s="47"/>
      <c r="AM14" s="42"/>
      <c r="AN14" s="46"/>
      <c r="AO14" s="46"/>
      <c r="AP14" s="46"/>
      <c r="AQ14" s="46"/>
      <c r="AR14" s="41" t="str">
        <f t="shared" si="1"/>
        <v>Kennebec River</v>
      </c>
      <c r="AS14" s="46"/>
      <c r="AT14" s="46"/>
      <c r="AU14" s="46"/>
      <c r="AV14" s="41" t="s">
        <v>187</v>
      </c>
      <c r="AW14" s="46"/>
      <c r="AX14" s="41" t="s">
        <v>187</v>
      </c>
      <c r="AY14" s="41" t="s">
        <v>188</v>
      </c>
      <c r="AZ14" s="46"/>
      <c r="BA14" s="46"/>
      <c r="BB14" s="46"/>
      <c r="BC14" s="46"/>
      <c r="BD14" s="46"/>
      <c r="BE14" s="46"/>
    </row>
    <row r="15" spans="1:73" ht="34.5" thickBot="1" x14ac:dyDescent="0.3">
      <c r="A15" s="49" t="s">
        <v>216</v>
      </c>
      <c r="B15" s="39" t="s">
        <v>173</v>
      </c>
      <c r="C15" s="40" t="s">
        <v>174</v>
      </c>
      <c r="D15" s="41" t="s">
        <v>198</v>
      </c>
      <c r="E15" s="46">
        <f>_xlfn.XLOOKUP(F15, [1]Sheet2!F$2:F$51,[1]Sheet2!J$2:J$51,"")</f>
        <v>1645260</v>
      </c>
      <c r="F15" s="42">
        <v>201214</v>
      </c>
      <c r="G15" s="41" t="s">
        <v>199</v>
      </c>
      <c r="H15" s="41" t="s">
        <v>175</v>
      </c>
      <c r="I15" s="41" t="s">
        <v>176</v>
      </c>
      <c r="J15" s="43">
        <v>45873</v>
      </c>
      <c r="K15" s="46" t="s">
        <v>200</v>
      </c>
      <c r="L15" s="46" t="s">
        <v>201</v>
      </c>
      <c r="M15" s="44" t="s">
        <v>195</v>
      </c>
      <c r="N15" s="41" t="s">
        <v>202</v>
      </c>
      <c r="O15" s="38" t="s">
        <v>179</v>
      </c>
      <c r="P15" s="41" t="s">
        <v>180</v>
      </c>
      <c r="Q15" s="41" t="s">
        <v>203</v>
      </c>
      <c r="R15" s="46">
        <v>44.271890354728697</v>
      </c>
      <c r="S15" s="46">
        <v>-69.785756708305897</v>
      </c>
      <c r="T15" s="41" t="s">
        <v>182</v>
      </c>
      <c r="U15" s="41" t="s">
        <v>183</v>
      </c>
      <c r="V15" s="38">
        <f>[1]tid.cln!T15/100</f>
        <v>0.57999999999999996</v>
      </c>
      <c r="W15" s="42" t="s">
        <v>192</v>
      </c>
      <c r="X15" s="41" t="s">
        <v>184</v>
      </c>
      <c r="Y15" s="46"/>
      <c r="Z15" s="46"/>
      <c r="AA15" s="41" t="s">
        <v>254</v>
      </c>
      <c r="AB15" s="41" t="s">
        <v>185</v>
      </c>
      <c r="AC15" s="46"/>
      <c r="AD15" s="38" t="s">
        <v>192</v>
      </c>
      <c r="AE15" s="41" t="s">
        <v>186</v>
      </c>
      <c r="AF15" s="46"/>
      <c r="AG15" s="46"/>
      <c r="AH15" s="41" t="str">
        <f t="shared" si="0"/>
        <v>Kennebec River</v>
      </c>
      <c r="AI15" s="46">
        <f t="shared" si="0"/>
        <v>44.271890354728697</v>
      </c>
      <c r="AJ15" s="46">
        <f t="shared" si="0"/>
        <v>-69.785756708305897</v>
      </c>
      <c r="AK15" s="45">
        <v>45873</v>
      </c>
      <c r="AL15" s="47"/>
      <c r="AM15" s="42"/>
      <c r="AN15" s="46"/>
      <c r="AO15" s="46"/>
      <c r="AP15" s="46"/>
      <c r="AQ15" s="46"/>
      <c r="AR15" s="41" t="str">
        <f t="shared" si="1"/>
        <v>Kennebec River</v>
      </c>
      <c r="AS15" s="46"/>
      <c r="AT15" s="46"/>
      <c r="AU15" s="46"/>
      <c r="AV15" s="41" t="s">
        <v>187</v>
      </c>
      <c r="AW15" s="46"/>
      <c r="AX15" s="41" t="s">
        <v>187</v>
      </c>
      <c r="AY15" s="41" t="s">
        <v>188</v>
      </c>
      <c r="AZ15" s="46"/>
      <c r="BA15" s="46"/>
      <c r="BB15" s="46"/>
      <c r="BC15" s="46"/>
      <c r="BD15" s="46"/>
      <c r="BE15" s="46"/>
    </row>
    <row r="16" spans="1:73" ht="34.5" thickBot="1" x14ac:dyDescent="0.3">
      <c r="A16" s="49" t="s">
        <v>217</v>
      </c>
      <c r="B16" s="39" t="s">
        <v>173</v>
      </c>
      <c r="C16" s="40" t="s">
        <v>174</v>
      </c>
      <c r="D16" s="41" t="s">
        <v>198</v>
      </c>
      <c r="E16" s="46">
        <f>_xlfn.XLOOKUP(F16, [1]Sheet2!F$2:F$51,[1]Sheet2!J$2:J$51,"")</f>
        <v>1645262</v>
      </c>
      <c r="F16" s="42">
        <v>201216</v>
      </c>
      <c r="G16" s="41" t="s">
        <v>199</v>
      </c>
      <c r="H16" s="41" t="s">
        <v>175</v>
      </c>
      <c r="I16" s="41" t="s">
        <v>176</v>
      </c>
      <c r="J16" s="43">
        <v>45873</v>
      </c>
      <c r="K16" s="46" t="s">
        <v>200</v>
      </c>
      <c r="L16" s="46" t="s">
        <v>201</v>
      </c>
      <c r="M16" s="44" t="s">
        <v>195</v>
      </c>
      <c r="N16" s="41" t="s">
        <v>202</v>
      </c>
      <c r="O16" s="38" t="s">
        <v>179</v>
      </c>
      <c r="P16" s="41" t="s">
        <v>180</v>
      </c>
      <c r="Q16" s="41" t="s">
        <v>203</v>
      </c>
      <c r="R16" s="46">
        <v>44.271890354728697</v>
      </c>
      <c r="S16" s="46">
        <v>-69.785756708305897</v>
      </c>
      <c r="T16" s="41" t="s">
        <v>182</v>
      </c>
      <c r="U16" s="41" t="s">
        <v>183</v>
      </c>
      <c r="V16" s="38">
        <f>[1]tid.cln!T16/100</f>
        <v>0.65</v>
      </c>
      <c r="W16" s="42" t="s">
        <v>192</v>
      </c>
      <c r="X16" s="41" t="s">
        <v>184</v>
      </c>
      <c r="Y16" s="46"/>
      <c r="Z16" s="46"/>
      <c r="AA16" s="41" t="s">
        <v>254</v>
      </c>
      <c r="AB16" s="41" t="s">
        <v>185</v>
      </c>
      <c r="AC16" s="46"/>
      <c r="AD16" s="38" t="s">
        <v>192</v>
      </c>
      <c r="AE16" s="41" t="s">
        <v>186</v>
      </c>
      <c r="AF16" s="46"/>
      <c r="AG16" s="46"/>
      <c r="AH16" s="41" t="str">
        <f t="shared" si="0"/>
        <v>Kennebec River</v>
      </c>
      <c r="AI16" s="46">
        <f t="shared" si="0"/>
        <v>44.271890354728697</v>
      </c>
      <c r="AJ16" s="46">
        <f t="shared" si="0"/>
        <v>-69.785756708305897</v>
      </c>
      <c r="AK16" s="45">
        <v>45873</v>
      </c>
      <c r="AL16" s="47"/>
      <c r="AM16" s="42"/>
      <c r="AN16" s="46"/>
      <c r="AO16" s="46"/>
      <c r="AP16" s="46"/>
      <c r="AQ16" s="46"/>
      <c r="AR16" s="41" t="str">
        <f t="shared" si="1"/>
        <v>Kennebec River</v>
      </c>
      <c r="AS16" s="46"/>
      <c r="AT16" s="46"/>
      <c r="AU16" s="46"/>
      <c r="AV16" s="41" t="s">
        <v>187</v>
      </c>
      <c r="AW16" s="46"/>
      <c r="AX16" s="41" t="s">
        <v>187</v>
      </c>
      <c r="AY16" s="41" t="s">
        <v>188</v>
      </c>
      <c r="AZ16" s="46"/>
      <c r="BA16" s="46"/>
      <c r="BB16" s="46"/>
      <c r="BC16" s="46"/>
      <c r="BD16" s="46"/>
      <c r="BE16" s="46"/>
    </row>
    <row r="17" spans="1:57" ht="34.5" thickBot="1" x14ac:dyDescent="0.3">
      <c r="A17" s="49" t="s">
        <v>218</v>
      </c>
      <c r="B17" s="39" t="s">
        <v>173</v>
      </c>
      <c r="C17" s="40" t="s">
        <v>174</v>
      </c>
      <c r="D17" s="41" t="s">
        <v>198</v>
      </c>
      <c r="E17" s="46">
        <f>_xlfn.XLOOKUP(F17, [1]Sheet2!F$2:F$51,[1]Sheet2!J$2:J$51,"")</f>
        <v>1645263</v>
      </c>
      <c r="F17" s="42">
        <v>201217</v>
      </c>
      <c r="G17" s="41" t="s">
        <v>199</v>
      </c>
      <c r="H17" s="41" t="s">
        <v>175</v>
      </c>
      <c r="I17" s="41" t="s">
        <v>176</v>
      </c>
      <c r="J17" s="43">
        <v>45873</v>
      </c>
      <c r="K17" s="46" t="s">
        <v>200</v>
      </c>
      <c r="L17" s="46" t="s">
        <v>201</v>
      </c>
      <c r="M17" s="44" t="s">
        <v>195</v>
      </c>
      <c r="N17" s="41" t="s">
        <v>202</v>
      </c>
      <c r="O17" s="38" t="s">
        <v>179</v>
      </c>
      <c r="P17" s="41" t="s">
        <v>180</v>
      </c>
      <c r="Q17" s="41" t="s">
        <v>203</v>
      </c>
      <c r="R17" s="46">
        <v>44.271890354728697</v>
      </c>
      <c r="S17" s="46">
        <v>-69.785756708305897</v>
      </c>
      <c r="T17" s="41" t="s">
        <v>182</v>
      </c>
      <c r="U17" s="41" t="s">
        <v>183</v>
      </c>
      <c r="V17" s="38">
        <f>[1]tid.cln!T17/100</f>
        <v>0.68</v>
      </c>
      <c r="W17" s="42" t="s">
        <v>192</v>
      </c>
      <c r="X17" s="41" t="s">
        <v>184</v>
      </c>
      <c r="Y17" s="46"/>
      <c r="Z17" s="46"/>
      <c r="AA17" s="41" t="s">
        <v>254</v>
      </c>
      <c r="AB17" s="41" t="s">
        <v>185</v>
      </c>
      <c r="AC17" s="46"/>
      <c r="AD17" s="38" t="s">
        <v>192</v>
      </c>
      <c r="AE17" s="41" t="s">
        <v>186</v>
      </c>
      <c r="AF17" s="46"/>
      <c r="AG17" s="46"/>
      <c r="AH17" s="41" t="str">
        <f t="shared" si="0"/>
        <v>Kennebec River</v>
      </c>
      <c r="AI17" s="46">
        <f t="shared" si="0"/>
        <v>44.271890354728697</v>
      </c>
      <c r="AJ17" s="46">
        <f t="shared" si="0"/>
        <v>-69.785756708305897</v>
      </c>
      <c r="AK17" s="45">
        <v>45873</v>
      </c>
      <c r="AL17" s="47"/>
      <c r="AM17" s="42"/>
      <c r="AN17" s="46"/>
      <c r="AO17" s="46"/>
      <c r="AP17" s="46"/>
      <c r="AQ17" s="46"/>
      <c r="AR17" s="41" t="str">
        <f t="shared" si="1"/>
        <v>Kennebec River</v>
      </c>
      <c r="AS17" s="46"/>
      <c r="AT17" s="46"/>
      <c r="AU17" s="46"/>
      <c r="AV17" s="41" t="s">
        <v>187</v>
      </c>
      <c r="AW17" s="46"/>
      <c r="AX17" s="41" t="s">
        <v>187</v>
      </c>
      <c r="AY17" s="41" t="s">
        <v>188</v>
      </c>
      <c r="AZ17" s="46"/>
      <c r="BA17" s="46"/>
      <c r="BB17" s="46"/>
      <c r="BC17" s="46"/>
      <c r="BD17" s="46"/>
      <c r="BE17" s="46"/>
    </row>
    <row r="18" spans="1:57" ht="34.5" thickBot="1" x14ac:dyDescent="0.3">
      <c r="A18" s="49" t="s">
        <v>219</v>
      </c>
      <c r="B18" s="39" t="s">
        <v>173</v>
      </c>
      <c r="C18" s="40" t="s">
        <v>174</v>
      </c>
      <c r="D18" s="41" t="s">
        <v>198</v>
      </c>
      <c r="E18" s="46">
        <f>_xlfn.XLOOKUP(F18, [1]Sheet2!F$2:F$51,[1]Sheet2!J$2:J$51,"")</f>
        <v>1645264</v>
      </c>
      <c r="F18" s="42">
        <v>201218</v>
      </c>
      <c r="G18" s="41" t="s">
        <v>199</v>
      </c>
      <c r="H18" s="41" t="s">
        <v>175</v>
      </c>
      <c r="I18" s="41" t="s">
        <v>176</v>
      </c>
      <c r="J18" s="43">
        <v>45873</v>
      </c>
      <c r="K18" s="46" t="s">
        <v>200</v>
      </c>
      <c r="L18" s="46" t="s">
        <v>201</v>
      </c>
      <c r="M18" s="44" t="s">
        <v>195</v>
      </c>
      <c r="N18" s="41" t="s">
        <v>202</v>
      </c>
      <c r="O18" s="38" t="s">
        <v>179</v>
      </c>
      <c r="P18" s="41" t="s">
        <v>180</v>
      </c>
      <c r="Q18" s="41" t="s">
        <v>203</v>
      </c>
      <c r="R18" s="46">
        <v>44.271890354728697</v>
      </c>
      <c r="S18" s="46">
        <v>-69.785756708305897</v>
      </c>
      <c r="T18" s="41" t="s">
        <v>182</v>
      </c>
      <c r="U18" s="41" t="s">
        <v>183</v>
      </c>
      <c r="V18" s="38">
        <f>[1]tid.cln!T18/100</f>
        <v>0.68</v>
      </c>
      <c r="W18" s="42" t="s">
        <v>192</v>
      </c>
      <c r="X18" s="41" t="s">
        <v>184</v>
      </c>
      <c r="Y18" s="46"/>
      <c r="Z18" s="46"/>
      <c r="AA18" s="41" t="s">
        <v>254</v>
      </c>
      <c r="AB18" s="41" t="s">
        <v>185</v>
      </c>
      <c r="AC18" s="46"/>
      <c r="AD18" s="38" t="s">
        <v>192</v>
      </c>
      <c r="AE18" s="41" t="s">
        <v>186</v>
      </c>
      <c r="AF18" s="46"/>
      <c r="AG18" s="46"/>
      <c r="AH18" s="41" t="str">
        <f t="shared" si="0"/>
        <v>Kennebec River</v>
      </c>
      <c r="AI18" s="46">
        <f t="shared" si="0"/>
        <v>44.271890354728697</v>
      </c>
      <c r="AJ18" s="46">
        <f t="shared" si="0"/>
        <v>-69.785756708305897</v>
      </c>
      <c r="AK18" s="45">
        <v>45873</v>
      </c>
      <c r="AL18" s="47"/>
      <c r="AM18" s="42"/>
      <c r="AN18" s="46"/>
      <c r="AO18" s="46"/>
      <c r="AP18" s="46"/>
      <c r="AQ18" s="46"/>
      <c r="AR18" s="41" t="str">
        <f t="shared" si="1"/>
        <v>Kennebec River</v>
      </c>
      <c r="AS18" s="46"/>
      <c r="AT18" s="46"/>
      <c r="AU18" s="46"/>
      <c r="AV18" s="41" t="s">
        <v>187</v>
      </c>
      <c r="AW18" s="46"/>
      <c r="AX18" s="41" t="s">
        <v>187</v>
      </c>
      <c r="AY18" s="41" t="s">
        <v>188</v>
      </c>
      <c r="AZ18" s="46"/>
      <c r="BA18" s="46"/>
      <c r="BB18" s="46"/>
      <c r="BC18" s="46"/>
      <c r="BD18" s="46"/>
      <c r="BE18" s="46"/>
    </row>
    <row r="19" spans="1:57" ht="34.5" thickBot="1" x14ac:dyDescent="0.3">
      <c r="A19" s="49" t="s">
        <v>220</v>
      </c>
      <c r="B19" s="39" t="s">
        <v>173</v>
      </c>
      <c r="C19" s="40" t="s">
        <v>174</v>
      </c>
      <c r="D19" s="41" t="s">
        <v>198</v>
      </c>
      <c r="E19" s="46">
        <f>_xlfn.XLOOKUP(F19, [1]Sheet2!F$2:F$51,[1]Sheet2!J$2:J$51,"")</f>
        <v>1645265</v>
      </c>
      <c r="F19" s="42">
        <v>201219</v>
      </c>
      <c r="G19" s="41" t="s">
        <v>199</v>
      </c>
      <c r="H19" s="41" t="s">
        <v>175</v>
      </c>
      <c r="I19" s="41" t="s">
        <v>176</v>
      </c>
      <c r="J19" s="43">
        <v>45873</v>
      </c>
      <c r="K19" s="46" t="s">
        <v>200</v>
      </c>
      <c r="L19" s="46" t="s">
        <v>201</v>
      </c>
      <c r="M19" s="44" t="s">
        <v>195</v>
      </c>
      <c r="N19" s="41" t="s">
        <v>202</v>
      </c>
      <c r="O19" s="38" t="s">
        <v>179</v>
      </c>
      <c r="P19" s="41" t="s">
        <v>180</v>
      </c>
      <c r="Q19" s="41" t="s">
        <v>203</v>
      </c>
      <c r="R19" s="46">
        <v>44.271890354728697</v>
      </c>
      <c r="S19" s="46">
        <v>-69.785756708305897</v>
      </c>
      <c r="T19" s="41" t="s">
        <v>182</v>
      </c>
      <c r="U19" s="41" t="s">
        <v>183</v>
      </c>
      <c r="V19" s="38">
        <f>[1]tid.cln!T19/100</f>
        <v>0.73</v>
      </c>
      <c r="W19" s="42" t="s">
        <v>192</v>
      </c>
      <c r="X19" s="41" t="s">
        <v>184</v>
      </c>
      <c r="Y19" s="46"/>
      <c r="Z19" s="46"/>
      <c r="AA19" s="41" t="s">
        <v>254</v>
      </c>
      <c r="AB19" s="41" t="s">
        <v>185</v>
      </c>
      <c r="AC19" s="46"/>
      <c r="AD19" s="38" t="s">
        <v>192</v>
      </c>
      <c r="AE19" s="41" t="s">
        <v>186</v>
      </c>
      <c r="AF19" s="46"/>
      <c r="AG19" s="46"/>
      <c r="AH19" s="41" t="str">
        <f t="shared" si="0"/>
        <v>Kennebec River</v>
      </c>
      <c r="AI19" s="46">
        <f t="shared" si="0"/>
        <v>44.271890354728697</v>
      </c>
      <c r="AJ19" s="46">
        <f t="shared" si="0"/>
        <v>-69.785756708305897</v>
      </c>
      <c r="AK19" s="45">
        <v>45873</v>
      </c>
      <c r="AL19" s="47"/>
      <c r="AM19" s="42"/>
      <c r="AN19" s="46"/>
      <c r="AO19" s="46"/>
      <c r="AP19" s="46"/>
      <c r="AQ19" s="46"/>
      <c r="AR19" s="41" t="str">
        <f t="shared" si="1"/>
        <v>Kennebec River</v>
      </c>
      <c r="AS19" s="46"/>
      <c r="AT19" s="46"/>
      <c r="AU19" s="46"/>
      <c r="AV19" s="41" t="s">
        <v>187</v>
      </c>
      <c r="AW19" s="46"/>
      <c r="AX19" s="41" t="s">
        <v>187</v>
      </c>
      <c r="AY19" s="41" t="s">
        <v>188</v>
      </c>
      <c r="AZ19" s="46"/>
      <c r="BA19" s="46"/>
      <c r="BB19" s="46"/>
      <c r="BC19" s="46"/>
      <c r="BD19" s="46"/>
      <c r="BE19" s="46"/>
    </row>
    <row r="20" spans="1:57" ht="34.5" thickBot="1" x14ac:dyDescent="0.3">
      <c r="A20" s="49" t="s">
        <v>221</v>
      </c>
      <c r="B20" s="39" t="s">
        <v>173</v>
      </c>
      <c r="C20" s="40" t="s">
        <v>174</v>
      </c>
      <c r="D20" s="41" t="s">
        <v>198</v>
      </c>
      <c r="E20" s="46">
        <f>_xlfn.XLOOKUP(F20, [1]Sheet2!F$2:F$51,[1]Sheet2!J$2:J$51,"")</f>
        <v>1645266</v>
      </c>
      <c r="F20" s="42">
        <v>201220</v>
      </c>
      <c r="G20" s="41" t="s">
        <v>199</v>
      </c>
      <c r="H20" s="41" t="s">
        <v>175</v>
      </c>
      <c r="I20" s="41" t="s">
        <v>176</v>
      </c>
      <c r="J20" s="43">
        <v>45873</v>
      </c>
      <c r="K20" s="46" t="s">
        <v>200</v>
      </c>
      <c r="L20" s="46" t="s">
        <v>201</v>
      </c>
      <c r="M20" s="44" t="s">
        <v>195</v>
      </c>
      <c r="N20" s="41" t="s">
        <v>202</v>
      </c>
      <c r="O20" s="38" t="s">
        <v>179</v>
      </c>
      <c r="P20" s="41" t="s">
        <v>180</v>
      </c>
      <c r="Q20" s="41" t="s">
        <v>203</v>
      </c>
      <c r="R20" s="46">
        <v>44.271890354728697</v>
      </c>
      <c r="S20" s="46">
        <v>-69.785756708305897</v>
      </c>
      <c r="T20" s="41" t="s">
        <v>182</v>
      </c>
      <c r="U20" s="41" t="s">
        <v>183</v>
      </c>
      <c r="V20" s="38">
        <f>[1]tid.cln!T20/100</f>
        <v>0.65</v>
      </c>
      <c r="W20" s="42" t="s">
        <v>192</v>
      </c>
      <c r="X20" s="41" t="s">
        <v>184</v>
      </c>
      <c r="Y20" s="46"/>
      <c r="Z20" s="46"/>
      <c r="AA20" s="41" t="s">
        <v>254</v>
      </c>
      <c r="AB20" s="41" t="s">
        <v>185</v>
      </c>
      <c r="AC20" s="46"/>
      <c r="AD20" s="38" t="s">
        <v>192</v>
      </c>
      <c r="AE20" s="41" t="s">
        <v>186</v>
      </c>
      <c r="AF20" s="46"/>
      <c r="AG20" s="46"/>
      <c r="AH20" s="41" t="str">
        <f t="shared" si="0"/>
        <v>Kennebec River</v>
      </c>
      <c r="AI20" s="46">
        <f t="shared" si="0"/>
        <v>44.271890354728697</v>
      </c>
      <c r="AJ20" s="46">
        <f t="shared" si="0"/>
        <v>-69.785756708305897</v>
      </c>
      <c r="AK20" s="45">
        <v>45873</v>
      </c>
      <c r="AL20" s="47"/>
      <c r="AM20" s="42"/>
      <c r="AN20" s="46"/>
      <c r="AO20" s="46"/>
      <c r="AP20" s="46"/>
      <c r="AQ20" s="46"/>
      <c r="AR20" s="41" t="str">
        <f t="shared" si="1"/>
        <v>Kennebec River</v>
      </c>
      <c r="AS20" s="46"/>
      <c r="AT20" s="46"/>
      <c r="AU20" s="46"/>
      <c r="AV20" s="41" t="s">
        <v>187</v>
      </c>
      <c r="AW20" s="46"/>
      <c r="AX20" s="41" t="s">
        <v>187</v>
      </c>
      <c r="AY20" s="41" t="s">
        <v>188</v>
      </c>
      <c r="AZ20" s="46"/>
      <c r="BA20" s="46"/>
      <c r="BB20" s="46"/>
      <c r="BC20" s="46"/>
      <c r="BD20" s="46"/>
      <c r="BE20" s="46"/>
    </row>
    <row r="21" spans="1:57" ht="34.5" thickBot="1" x14ac:dyDescent="0.3">
      <c r="A21" s="49" t="s">
        <v>222</v>
      </c>
      <c r="B21" s="39" t="s">
        <v>173</v>
      </c>
      <c r="C21" s="40" t="s">
        <v>174</v>
      </c>
      <c r="D21" s="41" t="s">
        <v>198</v>
      </c>
      <c r="E21" s="46">
        <f>_xlfn.XLOOKUP(F21, [1]Sheet2!F$2:F$51,[1]Sheet2!J$2:J$51,"")</f>
        <v>1645267</v>
      </c>
      <c r="F21" s="42">
        <v>201221</v>
      </c>
      <c r="G21" s="41" t="s">
        <v>199</v>
      </c>
      <c r="H21" s="41" t="s">
        <v>175</v>
      </c>
      <c r="I21" s="41" t="s">
        <v>176</v>
      </c>
      <c r="J21" s="43">
        <v>45873</v>
      </c>
      <c r="K21" s="46" t="s">
        <v>200</v>
      </c>
      <c r="L21" s="46" t="s">
        <v>201</v>
      </c>
      <c r="M21" s="44" t="s">
        <v>195</v>
      </c>
      <c r="N21" s="41" t="s">
        <v>202</v>
      </c>
      <c r="O21" s="38" t="s">
        <v>179</v>
      </c>
      <c r="P21" s="41" t="s">
        <v>180</v>
      </c>
      <c r="Q21" s="41" t="s">
        <v>203</v>
      </c>
      <c r="R21" s="46">
        <v>44.271890354728697</v>
      </c>
      <c r="S21" s="46">
        <v>-69.785756708305897</v>
      </c>
      <c r="T21" s="41" t="s">
        <v>182</v>
      </c>
      <c r="U21" s="41" t="s">
        <v>183</v>
      </c>
      <c r="V21" s="38">
        <f>[1]tid.cln!T21/100</f>
        <v>0.75</v>
      </c>
      <c r="W21" s="42" t="s">
        <v>192</v>
      </c>
      <c r="X21" s="41" t="s">
        <v>184</v>
      </c>
      <c r="Y21" s="46"/>
      <c r="Z21" s="46"/>
      <c r="AA21" s="41" t="s">
        <v>254</v>
      </c>
      <c r="AB21" s="41" t="s">
        <v>185</v>
      </c>
      <c r="AC21" s="46"/>
      <c r="AD21" s="38" t="s">
        <v>192</v>
      </c>
      <c r="AE21" s="41" t="s">
        <v>186</v>
      </c>
      <c r="AF21" s="46"/>
      <c r="AG21" s="46"/>
      <c r="AH21" s="41" t="str">
        <f t="shared" si="0"/>
        <v>Kennebec River</v>
      </c>
      <c r="AI21" s="46">
        <f t="shared" si="0"/>
        <v>44.271890354728697</v>
      </c>
      <c r="AJ21" s="46">
        <f t="shared" si="0"/>
        <v>-69.785756708305897</v>
      </c>
      <c r="AK21" s="45">
        <v>45873</v>
      </c>
      <c r="AL21" s="47"/>
      <c r="AM21" s="42"/>
      <c r="AN21" s="46"/>
      <c r="AO21" s="46"/>
      <c r="AP21" s="46"/>
      <c r="AQ21" s="46"/>
      <c r="AR21" s="41" t="str">
        <f t="shared" si="1"/>
        <v>Kennebec River</v>
      </c>
      <c r="AS21" s="46"/>
      <c r="AT21" s="46"/>
      <c r="AU21" s="46"/>
      <c r="AV21" s="41" t="s">
        <v>187</v>
      </c>
      <c r="AW21" s="46"/>
      <c r="AX21" s="41" t="s">
        <v>187</v>
      </c>
      <c r="AY21" s="41" t="s">
        <v>188</v>
      </c>
      <c r="AZ21" s="46"/>
      <c r="BA21" s="46"/>
      <c r="BB21" s="46"/>
      <c r="BC21" s="46"/>
      <c r="BD21" s="46"/>
      <c r="BE21" s="46"/>
    </row>
    <row r="22" spans="1:57" ht="34.5" thickBot="1" x14ac:dyDescent="0.3">
      <c r="A22" s="49" t="s">
        <v>223</v>
      </c>
      <c r="B22" s="39" t="s">
        <v>173</v>
      </c>
      <c r="C22" s="40" t="s">
        <v>174</v>
      </c>
      <c r="D22" s="41" t="s">
        <v>198</v>
      </c>
      <c r="E22" s="46">
        <f>_xlfn.XLOOKUP(F22, [1]Sheet2!F$2:F$51,[1]Sheet2!J$2:J$51,"")</f>
        <v>1645268</v>
      </c>
      <c r="F22" s="42">
        <v>201222</v>
      </c>
      <c r="G22" s="41" t="s">
        <v>199</v>
      </c>
      <c r="H22" s="41" t="s">
        <v>175</v>
      </c>
      <c r="I22" s="41" t="s">
        <v>176</v>
      </c>
      <c r="J22" s="43">
        <v>45873</v>
      </c>
      <c r="K22" s="46" t="s">
        <v>200</v>
      </c>
      <c r="L22" s="46" t="s">
        <v>201</v>
      </c>
      <c r="M22" s="44" t="s">
        <v>195</v>
      </c>
      <c r="N22" s="41" t="s">
        <v>202</v>
      </c>
      <c r="O22" s="38" t="s">
        <v>179</v>
      </c>
      <c r="P22" s="41" t="s">
        <v>180</v>
      </c>
      <c r="Q22" s="41" t="s">
        <v>203</v>
      </c>
      <c r="R22" s="46">
        <v>44.271890354728697</v>
      </c>
      <c r="S22" s="46">
        <v>-69.785756708305897</v>
      </c>
      <c r="T22" s="41" t="s">
        <v>182</v>
      </c>
      <c r="U22" s="41" t="s">
        <v>183</v>
      </c>
      <c r="V22" s="38">
        <f>[1]tid.cln!T22/100</f>
        <v>0.7</v>
      </c>
      <c r="W22" s="42" t="s">
        <v>192</v>
      </c>
      <c r="X22" s="41" t="s">
        <v>184</v>
      </c>
      <c r="Y22" s="46"/>
      <c r="Z22" s="46"/>
      <c r="AA22" s="41" t="s">
        <v>254</v>
      </c>
      <c r="AB22" s="41" t="s">
        <v>185</v>
      </c>
      <c r="AC22" s="46"/>
      <c r="AD22" s="38" t="s">
        <v>192</v>
      </c>
      <c r="AE22" s="41" t="s">
        <v>186</v>
      </c>
      <c r="AF22" s="46"/>
      <c r="AG22" s="46"/>
      <c r="AH22" s="41" t="str">
        <f t="shared" si="0"/>
        <v>Kennebec River</v>
      </c>
      <c r="AI22" s="46">
        <f t="shared" si="0"/>
        <v>44.271890354728697</v>
      </c>
      <c r="AJ22" s="46">
        <f t="shared" si="0"/>
        <v>-69.785756708305897</v>
      </c>
      <c r="AK22" s="45">
        <v>45873</v>
      </c>
      <c r="AL22" s="47"/>
      <c r="AM22" s="42"/>
      <c r="AN22" s="46"/>
      <c r="AO22" s="46"/>
      <c r="AP22" s="46"/>
      <c r="AQ22" s="46"/>
      <c r="AR22" s="41" t="str">
        <f t="shared" si="1"/>
        <v>Kennebec River</v>
      </c>
      <c r="AS22" s="46"/>
      <c r="AT22" s="46"/>
      <c r="AU22" s="46"/>
      <c r="AV22" s="41" t="s">
        <v>187</v>
      </c>
      <c r="AW22" s="46"/>
      <c r="AX22" s="41" t="s">
        <v>187</v>
      </c>
      <c r="AY22" s="41" t="s">
        <v>188</v>
      </c>
      <c r="AZ22" s="46"/>
      <c r="BA22" s="46"/>
      <c r="BB22" s="46"/>
      <c r="BC22" s="46"/>
      <c r="BD22" s="46"/>
      <c r="BE22" s="46"/>
    </row>
    <row r="23" spans="1:57" ht="34.5" thickBot="1" x14ac:dyDescent="0.3">
      <c r="A23" s="49" t="s">
        <v>224</v>
      </c>
      <c r="B23" s="39" t="s">
        <v>173</v>
      </c>
      <c r="C23" s="40" t="s">
        <v>174</v>
      </c>
      <c r="D23" s="41" t="s">
        <v>198</v>
      </c>
      <c r="E23" s="46">
        <f>_xlfn.XLOOKUP(F23, [1]Sheet2!F$2:F$51,[1]Sheet2!J$2:J$51,"")</f>
        <v>1645269</v>
      </c>
      <c r="F23" s="42">
        <v>201223</v>
      </c>
      <c r="G23" s="41" t="s">
        <v>199</v>
      </c>
      <c r="H23" s="41" t="s">
        <v>175</v>
      </c>
      <c r="I23" s="41" t="s">
        <v>176</v>
      </c>
      <c r="J23" s="43">
        <v>45873</v>
      </c>
      <c r="K23" s="46" t="s">
        <v>200</v>
      </c>
      <c r="L23" s="46" t="s">
        <v>201</v>
      </c>
      <c r="M23" s="44" t="s">
        <v>195</v>
      </c>
      <c r="N23" s="41" t="s">
        <v>202</v>
      </c>
      <c r="O23" s="38" t="s">
        <v>179</v>
      </c>
      <c r="P23" s="41" t="s">
        <v>180</v>
      </c>
      <c r="Q23" s="41" t="s">
        <v>203</v>
      </c>
      <c r="R23" s="46">
        <v>44.271890354728697</v>
      </c>
      <c r="S23" s="46">
        <v>-69.785756708305897</v>
      </c>
      <c r="T23" s="41" t="s">
        <v>182</v>
      </c>
      <c r="U23" s="41" t="s">
        <v>183</v>
      </c>
      <c r="V23" s="38">
        <f>[1]tid.cln!T23/100</f>
        <v>0.65</v>
      </c>
      <c r="W23" s="42" t="s">
        <v>192</v>
      </c>
      <c r="X23" s="41" t="s">
        <v>184</v>
      </c>
      <c r="Y23" s="46"/>
      <c r="Z23" s="46"/>
      <c r="AA23" s="41" t="s">
        <v>254</v>
      </c>
      <c r="AB23" s="41" t="s">
        <v>185</v>
      </c>
      <c r="AC23" s="46"/>
      <c r="AD23" s="38" t="s">
        <v>192</v>
      </c>
      <c r="AE23" s="41" t="s">
        <v>186</v>
      </c>
      <c r="AF23" s="46"/>
      <c r="AG23" s="46"/>
      <c r="AH23" s="41" t="str">
        <f t="shared" si="0"/>
        <v>Kennebec River</v>
      </c>
      <c r="AI23" s="46">
        <f t="shared" si="0"/>
        <v>44.271890354728697</v>
      </c>
      <c r="AJ23" s="46">
        <f t="shared" si="0"/>
        <v>-69.785756708305897</v>
      </c>
      <c r="AK23" s="45">
        <v>45873</v>
      </c>
      <c r="AL23" s="47"/>
      <c r="AM23" s="42"/>
      <c r="AN23" s="46"/>
      <c r="AO23" s="46"/>
      <c r="AP23" s="46"/>
      <c r="AQ23" s="46"/>
      <c r="AR23" s="41" t="str">
        <f t="shared" si="1"/>
        <v>Kennebec River</v>
      </c>
      <c r="AS23" s="46"/>
      <c r="AT23" s="46"/>
      <c r="AU23" s="46"/>
      <c r="AV23" s="41" t="s">
        <v>187</v>
      </c>
      <c r="AW23" s="46"/>
      <c r="AX23" s="41" t="s">
        <v>187</v>
      </c>
      <c r="AY23" s="41" t="s">
        <v>188</v>
      </c>
      <c r="AZ23" s="46"/>
      <c r="BA23" s="46"/>
      <c r="BB23" s="46"/>
      <c r="BC23" s="46"/>
      <c r="BD23" s="46"/>
      <c r="BE23" s="46"/>
    </row>
    <row r="24" spans="1:57" ht="34.5" thickBot="1" x14ac:dyDescent="0.3">
      <c r="A24" s="49" t="s">
        <v>225</v>
      </c>
      <c r="B24" s="39" t="s">
        <v>173</v>
      </c>
      <c r="C24" s="40" t="s">
        <v>174</v>
      </c>
      <c r="D24" s="41" t="s">
        <v>198</v>
      </c>
      <c r="E24" s="46">
        <f>_xlfn.XLOOKUP(F24, [1]Sheet2!F$2:F$51,[1]Sheet2!J$2:J$51,"")</f>
        <v>1645270</v>
      </c>
      <c r="F24" s="42">
        <v>201224</v>
      </c>
      <c r="G24" s="41" t="s">
        <v>199</v>
      </c>
      <c r="H24" s="41" t="s">
        <v>175</v>
      </c>
      <c r="I24" s="41" t="s">
        <v>176</v>
      </c>
      <c r="J24" s="43">
        <v>45873</v>
      </c>
      <c r="K24" s="46" t="s">
        <v>200</v>
      </c>
      <c r="L24" s="46" t="s">
        <v>201</v>
      </c>
      <c r="M24" s="44" t="s">
        <v>195</v>
      </c>
      <c r="N24" s="41" t="s">
        <v>202</v>
      </c>
      <c r="O24" s="38" t="s">
        <v>179</v>
      </c>
      <c r="P24" s="41" t="s">
        <v>180</v>
      </c>
      <c r="Q24" s="41" t="s">
        <v>203</v>
      </c>
      <c r="R24" s="46">
        <v>44.271890354728697</v>
      </c>
      <c r="S24" s="46">
        <v>-69.785756708305897</v>
      </c>
      <c r="T24" s="41" t="s">
        <v>182</v>
      </c>
      <c r="U24" s="41" t="s">
        <v>183</v>
      </c>
      <c r="V24" s="38">
        <f>[1]tid.cln!T24/100</f>
        <v>0.65</v>
      </c>
      <c r="W24" s="42" t="s">
        <v>192</v>
      </c>
      <c r="X24" s="41" t="s">
        <v>184</v>
      </c>
      <c r="Y24" s="46"/>
      <c r="Z24" s="46"/>
      <c r="AA24" s="41" t="s">
        <v>254</v>
      </c>
      <c r="AB24" s="41" t="s">
        <v>185</v>
      </c>
      <c r="AC24" s="46"/>
      <c r="AD24" s="38" t="s">
        <v>192</v>
      </c>
      <c r="AE24" s="41" t="s">
        <v>186</v>
      </c>
      <c r="AF24" s="46"/>
      <c r="AG24" s="46"/>
      <c r="AH24" s="41" t="str">
        <f t="shared" si="0"/>
        <v>Kennebec River</v>
      </c>
      <c r="AI24" s="46">
        <f t="shared" si="0"/>
        <v>44.271890354728697</v>
      </c>
      <c r="AJ24" s="46">
        <f t="shared" si="0"/>
        <v>-69.785756708305897</v>
      </c>
      <c r="AK24" s="45">
        <v>45873</v>
      </c>
      <c r="AL24" s="47"/>
      <c r="AM24" s="42"/>
      <c r="AN24" s="46"/>
      <c r="AO24" s="46"/>
      <c r="AP24" s="46"/>
      <c r="AQ24" s="46"/>
      <c r="AR24" s="41" t="str">
        <f t="shared" si="1"/>
        <v>Kennebec River</v>
      </c>
      <c r="AS24" s="46"/>
      <c r="AT24" s="46"/>
      <c r="AU24" s="46"/>
      <c r="AV24" s="41" t="s">
        <v>187</v>
      </c>
      <c r="AW24" s="46"/>
      <c r="AX24" s="41" t="s">
        <v>187</v>
      </c>
      <c r="AY24" s="41" t="s">
        <v>188</v>
      </c>
      <c r="AZ24" s="46"/>
      <c r="BA24" s="46"/>
      <c r="BB24" s="46"/>
      <c r="BC24" s="46"/>
      <c r="BD24" s="46"/>
      <c r="BE24" s="46"/>
    </row>
    <row r="25" spans="1:57" ht="34.5" thickBot="1" x14ac:dyDescent="0.3">
      <c r="A25" s="49" t="s">
        <v>226</v>
      </c>
      <c r="B25" s="39" t="s">
        <v>173</v>
      </c>
      <c r="C25" s="40" t="s">
        <v>174</v>
      </c>
      <c r="D25" s="41" t="s">
        <v>198</v>
      </c>
      <c r="E25" s="46">
        <f>_xlfn.XLOOKUP(F25, [1]Sheet2!F$2:F$51,[1]Sheet2!J$2:J$51,"")</f>
        <v>1645271</v>
      </c>
      <c r="F25" s="42">
        <v>201225</v>
      </c>
      <c r="G25" s="41" t="s">
        <v>199</v>
      </c>
      <c r="H25" s="41" t="s">
        <v>175</v>
      </c>
      <c r="I25" s="41" t="s">
        <v>176</v>
      </c>
      <c r="J25" s="43">
        <v>45873</v>
      </c>
      <c r="K25" s="46" t="s">
        <v>200</v>
      </c>
      <c r="L25" s="46" t="s">
        <v>201</v>
      </c>
      <c r="M25" s="44" t="s">
        <v>195</v>
      </c>
      <c r="N25" s="41" t="s">
        <v>202</v>
      </c>
      <c r="O25" s="38" t="s">
        <v>179</v>
      </c>
      <c r="P25" s="41" t="s">
        <v>180</v>
      </c>
      <c r="Q25" s="41" t="s">
        <v>203</v>
      </c>
      <c r="R25" s="46">
        <v>44.271890354728697</v>
      </c>
      <c r="S25" s="46">
        <v>-69.785756708305897</v>
      </c>
      <c r="T25" s="41" t="s">
        <v>182</v>
      </c>
      <c r="U25" s="41" t="s">
        <v>183</v>
      </c>
      <c r="V25" s="38">
        <f>[1]tid.cln!T25/100</f>
        <v>0.63</v>
      </c>
      <c r="W25" s="42" t="s">
        <v>192</v>
      </c>
      <c r="X25" s="41" t="s">
        <v>184</v>
      </c>
      <c r="Y25" s="46"/>
      <c r="Z25" s="46"/>
      <c r="AA25" s="41" t="s">
        <v>254</v>
      </c>
      <c r="AB25" s="41" t="s">
        <v>185</v>
      </c>
      <c r="AC25" s="46"/>
      <c r="AD25" s="38" t="s">
        <v>192</v>
      </c>
      <c r="AE25" s="41" t="s">
        <v>186</v>
      </c>
      <c r="AF25" s="46"/>
      <c r="AG25" s="46"/>
      <c r="AH25" s="41" t="str">
        <f t="shared" si="0"/>
        <v>Kennebec River</v>
      </c>
      <c r="AI25" s="46">
        <f t="shared" si="0"/>
        <v>44.271890354728697</v>
      </c>
      <c r="AJ25" s="46">
        <f t="shared" si="0"/>
        <v>-69.785756708305897</v>
      </c>
      <c r="AK25" s="45">
        <v>45873</v>
      </c>
      <c r="AL25" s="47"/>
      <c r="AM25" s="42"/>
      <c r="AN25" s="46"/>
      <c r="AO25" s="46"/>
      <c r="AP25" s="46"/>
      <c r="AQ25" s="46"/>
      <c r="AR25" s="41" t="str">
        <f t="shared" si="1"/>
        <v>Kennebec River</v>
      </c>
      <c r="AS25" s="46"/>
      <c r="AT25" s="46"/>
      <c r="AU25" s="46"/>
      <c r="AV25" s="41" t="s">
        <v>187</v>
      </c>
      <c r="AW25" s="46"/>
      <c r="AX25" s="41" t="s">
        <v>187</v>
      </c>
      <c r="AY25" s="41" t="s">
        <v>188</v>
      </c>
      <c r="AZ25" s="46"/>
      <c r="BA25" s="46"/>
      <c r="BB25" s="46"/>
      <c r="BC25" s="46"/>
      <c r="BD25" s="46"/>
      <c r="BE25" s="46"/>
    </row>
    <row r="26" spans="1:57" ht="34.5" thickBot="1" x14ac:dyDescent="0.3">
      <c r="A26" s="49" t="s">
        <v>227</v>
      </c>
      <c r="B26" s="39" t="s">
        <v>173</v>
      </c>
      <c r="C26" s="40" t="s">
        <v>174</v>
      </c>
      <c r="D26" s="41" t="s">
        <v>198</v>
      </c>
      <c r="E26" s="46">
        <f>_xlfn.XLOOKUP(F26, [1]Sheet2!F$2:F$51,[1]Sheet2!J$2:J$51,"")</f>
        <v>1645275</v>
      </c>
      <c r="F26" s="42">
        <v>201229</v>
      </c>
      <c r="G26" s="41" t="s">
        <v>199</v>
      </c>
      <c r="H26" s="41" t="s">
        <v>175</v>
      </c>
      <c r="I26" s="41" t="s">
        <v>176</v>
      </c>
      <c r="J26" s="43">
        <v>45874</v>
      </c>
      <c r="K26" s="46" t="s">
        <v>200</v>
      </c>
      <c r="L26" s="46" t="s">
        <v>201</v>
      </c>
      <c r="M26" s="44" t="s">
        <v>195</v>
      </c>
      <c r="N26" s="41" t="s">
        <v>202</v>
      </c>
      <c r="O26" s="38" t="s">
        <v>193</v>
      </c>
      <c r="P26" s="41" t="s">
        <v>194</v>
      </c>
      <c r="Q26" s="41" t="s">
        <v>181</v>
      </c>
      <c r="R26" s="46">
        <v>44.686268165431599</v>
      </c>
      <c r="S26" s="46">
        <v>-68.817097075802906</v>
      </c>
      <c r="T26" s="41" t="s">
        <v>182</v>
      </c>
      <c r="U26" s="41" t="s">
        <v>183</v>
      </c>
      <c r="V26" s="38">
        <f>[1]tid.cln!T26/100</f>
        <v>1.59</v>
      </c>
      <c r="W26" s="42" t="s">
        <v>192</v>
      </c>
      <c r="X26" s="41" t="s">
        <v>184</v>
      </c>
      <c r="Y26" s="46"/>
      <c r="Z26" s="46"/>
      <c r="AA26" s="41" t="s">
        <v>254</v>
      </c>
      <c r="AB26" s="41" t="s">
        <v>185</v>
      </c>
      <c r="AC26" s="46"/>
      <c r="AD26" s="38" t="s">
        <v>192</v>
      </c>
      <c r="AE26" s="41" t="s">
        <v>186</v>
      </c>
      <c r="AF26" s="46"/>
      <c r="AG26" s="46"/>
      <c r="AH26" s="41" t="str">
        <f t="shared" si="0"/>
        <v>Penobscot River</v>
      </c>
      <c r="AI26" s="46">
        <f t="shared" si="0"/>
        <v>44.686268165431599</v>
      </c>
      <c r="AJ26" s="46">
        <f t="shared" si="0"/>
        <v>-68.817097075802906</v>
      </c>
      <c r="AK26" s="45">
        <v>45874</v>
      </c>
      <c r="AL26" s="47"/>
      <c r="AM26" s="42"/>
      <c r="AN26" s="46"/>
      <c r="AO26" s="46"/>
      <c r="AP26" s="46"/>
      <c r="AQ26" s="46"/>
      <c r="AR26" s="41" t="str">
        <f t="shared" si="1"/>
        <v>Penobscot River</v>
      </c>
      <c r="AS26" s="46"/>
      <c r="AT26" s="46"/>
      <c r="AU26" s="46"/>
      <c r="AV26" s="41" t="s">
        <v>187</v>
      </c>
      <c r="AW26" s="46"/>
      <c r="AX26" s="41" t="s">
        <v>187</v>
      </c>
      <c r="AY26" s="41" t="s">
        <v>188</v>
      </c>
      <c r="AZ26" s="46"/>
      <c r="BA26" s="46"/>
      <c r="BB26" s="46"/>
      <c r="BC26" s="46"/>
      <c r="BD26" s="46"/>
      <c r="BE26" s="46"/>
    </row>
    <row r="27" spans="1:57" ht="34.5" thickBot="1" x14ac:dyDescent="0.3">
      <c r="A27" s="49" t="s">
        <v>228</v>
      </c>
      <c r="B27" s="39" t="s">
        <v>173</v>
      </c>
      <c r="C27" s="40" t="s">
        <v>174</v>
      </c>
      <c r="D27" s="41" t="s">
        <v>198</v>
      </c>
      <c r="E27" s="46">
        <f>_xlfn.XLOOKUP(F27, [1]Sheet2!F$2:F$51,[1]Sheet2!J$2:J$51,"")</f>
        <v>1645279</v>
      </c>
      <c r="F27" s="42">
        <v>201233</v>
      </c>
      <c r="G27" s="41" t="s">
        <v>199</v>
      </c>
      <c r="H27" s="41" t="s">
        <v>175</v>
      </c>
      <c r="I27" s="41" t="s">
        <v>176</v>
      </c>
      <c r="J27" s="43">
        <v>45874</v>
      </c>
      <c r="K27" s="46" t="s">
        <v>200</v>
      </c>
      <c r="L27" s="46" t="s">
        <v>201</v>
      </c>
      <c r="M27" s="44" t="s">
        <v>195</v>
      </c>
      <c r="N27" s="41" t="s">
        <v>202</v>
      </c>
      <c r="O27" s="38" t="s">
        <v>193</v>
      </c>
      <c r="P27" s="41" t="s">
        <v>194</v>
      </c>
      <c r="Q27" s="41" t="s">
        <v>181</v>
      </c>
      <c r="R27" s="46">
        <v>44.686268165431599</v>
      </c>
      <c r="S27" s="46">
        <v>-68.817097075802906</v>
      </c>
      <c r="T27" s="41" t="s">
        <v>182</v>
      </c>
      <c r="U27" s="41" t="s">
        <v>183</v>
      </c>
      <c r="V27" s="38">
        <f>[1]tid.cln!T27/100</f>
        <v>0.9</v>
      </c>
      <c r="W27" s="42" t="s">
        <v>192</v>
      </c>
      <c r="X27" s="41" t="s">
        <v>184</v>
      </c>
      <c r="Y27" s="46"/>
      <c r="Z27" s="46"/>
      <c r="AA27" s="41" t="s">
        <v>254</v>
      </c>
      <c r="AB27" s="41" t="s">
        <v>185</v>
      </c>
      <c r="AC27" s="46"/>
      <c r="AD27" s="38" t="s">
        <v>192</v>
      </c>
      <c r="AE27" s="41" t="s">
        <v>186</v>
      </c>
      <c r="AF27" s="46"/>
      <c r="AG27" s="46"/>
      <c r="AH27" s="41" t="str">
        <f t="shared" si="0"/>
        <v>Penobscot River</v>
      </c>
      <c r="AI27" s="46">
        <f t="shared" si="0"/>
        <v>44.686268165431599</v>
      </c>
      <c r="AJ27" s="46">
        <f t="shared" si="0"/>
        <v>-68.817097075802906</v>
      </c>
      <c r="AK27" s="45">
        <v>45874</v>
      </c>
      <c r="AL27" s="47"/>
      <c r="AM27" s="42"/>
      <c r="AN27" s="46"/>
      <c r="AO27" s="46"/>
      <c r="AP27" s="46"/>
      <c r="AQ27" s="46"/>
      <c r="AR27" s="41" t="str">
        <f t="shared" si="1"/>
        <v>Penobscot River</v>
      </c>
      <c r="AS27" s="46"/>
      <c r="AT27" s="46"/>
      <c r="AU27" s="46"/>
      <c r="AV27" s="41" t="s">
        <v>187</v>
      </c>
      <c r="AW27" s="46"/>
      <c r="AX27" s="41" t="s">
        <v>187</v>
      </c>
      <c r="AY27" s="41" t="s">
        <v>188</v>
      </c>
      <c r="AZ27" s="46"/>
      <c r="BA27" s="46"/>
      <c r="BB27" s="46"/>
      <c r="BC27" s="46"/>
      <c r="BD27" s="46"/>
      <c r="BE27" s="46"/>
    </row>
    <row r="28" spans="1:57" ht="34.5" thickBot="1" x14ac:dyDescent="0.3">
      <c r="A28" s="49" t="s">
        <v>229</v>
      </c>
      <c r="B28" s="39" t="s">
        <v>173</v>
      </c>
      <c r="C28" s="40" t="s">
        <v>174</v>
      </c>
      <c r="D28" s="41" t="s">
        <v>198</v>
      </c>
      <c r="E28" s="46">
        <f>_xlfn.XLOOKUP(F28, [1]Sheet2!F$2:F$51,[1]Sheet2!J$2:J$51,"")</f>
        <v>1645286</v>
      </c>
      <c r="F28" s="42">
        <v>201240</v>
      </c>
      <c r="G28" s="41" t="s">
        <v>199</v>
      </c>
      <c r="H28" s="41" t="s">
        <v>175</v>
      </c>
      <c r="I28" s="41" t="s">
        <v>176</v>
      </c>
      <c r="J28" s="43">
        <v>45874</v>
      </c>
      <c r="K28" s="46" t="s">
        <v>200</v>
      </c>
      <c r="L28" s="46" t="s">
        <v>201</v>
      </c>
      <c r="M28" s="44" t="s">
        <v>195</v>
      </c>
      <c r="N28" s="41" t="s">
        <v>202</v>
      </c>
      <c r="O28" s="38" t="s">
        <v>193</v>
      </c>
      <c r="P28" s="41" t="s">
        <v>194</v>
      </c>
      <c r="Q28" s="41" t="s">
        <v>181</v>
      </c>
      <c r="R28" s="46">
        <v>44.686268165431599</v>
      </c>
      <c r="S28" s="46">
        <v>-68.817097075802906</v>
      </c>
      <c r="T28" s="41" t="s">
        <v>182</v>
      </c>
      <c r="U28" s="41" t="s">
        <v>183</v>
      </c>
      <c r="V28" s="38">
        <f>[1]tid.cln!T28/100</f>
        <v>0.85</v>
      </c>
      <c r="W28" s="42" t="s">
        <v>192</v>
      </c>
      <c r="X28" s="41" t="s">
        <v>184</v>
      </c>
      <c r="Y28" s="46"/>
      <c r="Z28" s="46"/>
      <c r="AA28" s="41" t="s">
        <v>254</v>
      </c>
      <c r="AB28" s="41" t="s">
        <v>185</v>
      </c>
      <c r="AC28" s="46"/>
      <c r="AD28" s="38" t="s">
        <v>192</v>
      </c>
      <c r="AE28" s="41" t="s">
        <v>186</v>
      </c>
      <c r="AF28" s="46"/>
      <c r="AG28" s="46"/>
      <c r="AH28" s="41" t="str">
        <f t="shared" si="0"/>
        <v>Penobscot River</v>
      </c>
      <c r="AI28" s="46">
        <f t="shared" si="0"/>
        <v>44.686268165431599</v>
      </c>
      <c r="AJ28" s="46">
        <f t="shared" si="0"/>
        <v>-68.817097075802906</v>
      </c>
      <c r="AK28" s="45">
        <v>45874</v>
      </c>
      <c r="AL28" s="47"/>
      <c r="AM28" s="42"/>
      <c r="AN28" s="46"/>
      <c r="AO28" s="46"/>
      <c r="AP28" s="46"/>
      <c r="AQ28" s="46"/>
      <c r="AR28" s="41" t="str">
        <f t="shared" si="1"/>
        <v>Penobscot River</v>
      </c>
      <c r="AS28" s="46"/>
      <c r="AT28" s="46"/>
      <c r="AU28" s="46"/>
      <c r="AV28" s="41" t="s">
        <v>187</v>
      </c>
      <c r="AW28" s="46"/>
      <c r="AX28" s="41" t="s">
        <v>187</v>
      </c>
      <c r="AY28" s="41" t="s">
        <v>188</v>
      </c>
      <c r="AZ28" s="46"/>
      <c r="BA28" s="46"/>
      <c r="BB28" s="46"/>
      <c r="BC28" s="46"/>
      <c r="BD28" s="46"/>
      <c r="BE28" s="46"/>
    </row>
    <row r="29" spans="1:57" ht="34.5" thickBot="1" x14ac:dyDescent="0.3">
      <c r="A29" s="49" t="s">
        <v>230</v>
      </c>
      <c r="B29" s="39" t="s">
        <v>173</v>
      </c>
      <c r="C29" s="40" t="s">
        <v>174</v>
      </c>
      <c r="D29" s="41" t="s">
        <v>198</v>
      </c>
      <c r="E29" s="46">
        <f>_xlfn.XLOOKUP(F29, [1]Sheet2!F$2:F$51,[1]Sheet2!J$2:J$51,"")</f>
        <v>1645288</v>
      </c>
      <c r="F29" s="42">
        <v>201242</v>
      </c>
      <c r="G29" s="41" t="s">
        <v>199</v>
      </c>
      <c r="H29" s="41" t="s">
        <v>175</v>
      </c>
      <c r="I29" s="41" t="s">
        <v>176</v>
      </c>
      <c r="J29" s="43">
        <v>45874</v>
      </c>
      <c r="K29" s="46" t="s">
        <v>200</v>
      </c>
      <c r="L29" s="46" t="s">
        <v>201</v>
      </c>
      <c r="M29" s="44" t="s">
        <v>195</v>
      </c>
      <c r="N29" s="41" t="s">
        <v>202</v>
      </c>
      <c r="O29" s="38" t="s">
        <v>193</v>
      </c>
      <c r="P29" s="41" t="s">
        <v>194</v>
      </c>
      <c r="Q29" s="41" t="s">
        <v>181</v>
      </c>
      <c r="R29" s="46">
        <v>44.686268165431599</v>
      </c>
      <c r="S29" s="46">
        <v>-68.817097075802906</v>
      </c>
      <c r="T29" s="41" t="s">
        <v>182</v>
      </c>
      <c r="U29" s="41" t="s">
        <v>183</v>
      </c>
      <c r="V29" s="38">
        <f>[1]tid.cln!T29/100</f>
        <v>0.9</v>
      </c>
      <c r="W29" s="42" t="s">
        <v>192</v>
      </c>
      <c r="X29" s="41" t="s">
        <v>184</v>
      </c>
      <c r="Y29" s="46"/>
      <c r="Z29" s="46"/>
      <c r="AA29" s="41" t="s">
        <v>254</v>
      </c>
      <c r="AB29" s="41" t="s">
        <v>185</v>
      </c>
      <c r="AC29" s="46"/>
      <c r="AD29" s="38" t="s">
        <v>192</v>
      </c>
      <c r="AE29" s="41" t="s">
        <v>186</v>
      </c>
      <c r="AF29" s="46"/>
      <c r="AG29" s="46"/>
      <c r="AH29" s="41" t="str">
        <f t="shared" si="0"/>
        <v>Penobscot River</v>
      </c>
      <c r="AI29" s="46">
        <f t="shared" si="0"/>
        <v>44.686268165431599</v>
      </c>
      <c r="AJ29" s="46">
        <f t="shared" si="0"/>
        <v>-68.817097075802906</v>
      </c>
      <c r="AK29" s="45">
        <v>45874</v>
      </c>
      <c r="AL29" s="47"/>
      <c r="AM29" s="42"/>
      <c r="AN29" s="46"/>
      <c r="AO29" s="46"/>
      <c r="AP29" s="46"/>
      <c r="AQ29" s="46"/>
      <c r="AR29" s="41" t="str">
        <f t="shared" si="1"/>
        <v>Penobscot River</v>
      </c>
      <c r="AS29" s="46"/>
      <c r="AT29" s="46"/>
      <c r="AU29" s="46"/>
      <c r="AV29" s="41" t="s">
        <v>187</v>
      </c>
      <c r="AW29" s="46"/>
      <c r="AX29" s="41" t="s">
        <v>187</v>
      </c>
      <c r="AY29" s="41" t="s">
        <v>188</v>
      </c>
      <c r="AZ29" s="46"/>
      <c r="BA29" s="46"/>
      <c r="BB29" s="46"/>
      <c r="BC29" s="46"/>
      <c r="BD29" s="46"/>
      <c r="BE29" s="46"/>
    </row>
    <row r="30" spans="1:57" ht="34.5" thickBot="1" x14ac:dyDescent="0.3">
      <c r="A30" s="49" t="s">
        <v>231</v>
      </c>
      <c r="B30" s="39" t="s">
        <v>173</v>
      </c>
      <c r="C30" s="40" t="s">
        <v>174</v>
      </c>
      <c r="D30" s="41" t="s">
        <v>198</v>
      </c>
      <c r="E30" s="46">
        <f>_xlfn.XLOOKUP(F30, [1]Sheet2!F$2:F$51,[1]Sheet2!J$2:J$51,"")</f>
        <v>1645289</v>
      </c>
      <c r="F30" s="42">
        <v>201243</v>
      </c>
      <c r="G30" s="41" t="s">
        <v>199</v>
      </c>
      <c r="H30" s="41" t="s">
        <v>175</v>
      </c>
      <c r="I30" s="41" t="s">
        <v>176</v>
      </c>
      <c r="J30" s="43">
        <v>45874</v>
      </c>
      <c r="K30" s="46" t="s">
        <v>200</v>
      </c>
      <c r="L30" s="46" t="s">
        <v>201</v>
      </c>
      <c r="M30" s="44" t="s">
        <v>195</v>
      </c>
      <c r="N30" s="41" t="s">
        <v>202</v>
      </c>
      <c r="O30" s="38" t="s">
        <v>193</v>
      </c>
      <c r="P30" s="41" t="s">
        <v>194</v>
      </c>
      <c r="Q30" s="41" t="s">
        <v>181</v>
      </c>
      <c r="R30" s="46">
        <v>44.686268165431599</v>
      </c>
      <c r="S30" s="46">
        <v>-68.817097075802906</v>
      </c>
      <c r="T30" s="41" t="s">
        <v>182</v>
      </c>
      <c r="U30" s="41" t="s">
        <v>183</v>
      </c>
      <c r="V30" s="38">
        <f>[1]tid.cln!T30/100</f>
        <v>0.87</v>
      </c>
      <c r="W30" s="42" t="s">
        <v>192</v>
      </c>
      <c r="X30" s="41" t="s">
        <v>184</v>
      </c>
      <c r="Y30" s="46"/>
      <c r="Z30" s="46"/>
      <c r="AA30" s="41" t="s">
        <v>254</v>
      </c>
      <c r="AB30" s="41" t="s">
        <v>185</v>
      </c>
      <c r="AC30" s="46"/>
      <c r="AD30" s="38" t="s">
        <v>192</v>
      </c>
      <c r="AE30" s="41" t="s">
        <v>186</v>
      </c>
      <c r="AF30" s="46"/>
      <c r="AG30" s="46"/>
      <c r="AH30" s="41" t="str">
        <f t="shared" si="0"/>
        <v>Penobscot River</v>
      </c>
      <c r="AI30" s="46">
        <f t="shared" si="0"/>
        <v>44.686268165431599</v>
      </c>
      <c r="AJ30" s="46">
        <f t="shared" si="0"/>
        <v>-68.817097075802906</v>
      </c>
      <c r="AK30" s="45">
        <v>45874</v>
      </c>
      <c r="AL30" s="47"/>
      <c r="AM30" s="42"/>
      <c r="AN30" s="46"/>
      <c r="AO30" s="46"/>
      <c r="AP30" s="46"/>
      <c r="AQ30" s="46"/>
      <c r="AR30" s="41" t="str">
        <f t="shared" si="1"/>
        <v>Penobscot River</v>
      </c>
      <c r="AS30" s="46"/>
      <c r="AT30" s="46"/>
      <c r="AU30" s="46"/>
      <c r="AV30" s="41" t="s">
        <v>187</v>
      </c>
      <c r="AW30" s="46"/>
      <c r="AX30" s="41" t="s">
        <v>187</v>
      </c>
      <c r="AY30" s="41" t="s">
        <v>188</v>
      </c>
      <c r="AZ30" s="46"/>
      <c r="BA30" s="46"/>
      <c r="BB30" s="46"/>
      <c r="BC30" s="46"/>
      <c r="BD30" s="46"/>
      <c r="BE30" s="46"/>
    </row>
    <row r="31" spans="1:57" ht="34.5" thickBot="1" x14ac:dyDescent="0.3">
      <c r="A31" s="49" t="s">
        <v>232</v>
      </c>
      <c r="B31" s="39" t="s">
        <v>173</v>
      </c>
      <c r="C31" s="40" t="s">
        <v>174</v>
      </c>
      <c r="D31" s="41" t="s">
        <v>198</v>
      </c>
      <c r="E31" s="46">
        <f>_xlfn.XLOOKUP(F31, [1]Sheet2!F$2:F$51,[1]Sheet2!J$2:J$51,"")</f>
        <v>1645292</v>
      </c>
      <c r="F31" s="42">
        <v>201246</v>
      </c>
      <c r="G31" s="41" t="s">
        <v>199</v>
      </c>
      <c r="H31" s="41" t="s">
        <v>175</v>
      </c>
      <c r="I31" s="41" t="s">
        <v>176</v>
      </c>
      <c r="J31" s="43">
        <v>45874</v>
      </c>
      <c r="K31" s="46" t="s">
        <v>200</v>
      </c>
      <c r="L31" s="46" t="s">
        <v>201</v>
      </c>
      <c r="M31" s="44" t="s">
        <v>195</v>
      </c>
      <c r="N31" s="41" t="s">
        <v>202</v>
      </c>
      <c r="O31" s="38" t="s">
        <v>193</v>
      </c>
      <c r="P31" s="41" t="s">
        <v>194</v>
      </c>
      <c r="Q31" s="41" t="s">
        <v>181</v>
      </c>
      <c r="R31" s="46">
        <v>44.686268165431599</v>
      </c>
      <c r="S31" s="46">
        <v>-68.817097075802906</v>
      </c>
      <c r="T31" s="41" t="s">
        <v>182</v>
      </c>
      <c r="U31" s="41" t="s">
        <v>183</v>
      </c>
      <c r="V31" s="38">
        <f>[1]tid.cln!T31/100</f>
        <v>0.94</v>
      </c>
      <c r="W31" s="42" t="s">
        <v>192</v>
      </c>
      <c r="X31" s="41" t="s">
        <v>184</v>
      </c>
      <c r="Y31" s="46"/>
      <c r="Z31" s="46"/>
      <c r="AA31" s="41" t="s">
        <v>254</v>
      </c>
      <c r="AB31" s="41" t="s">
        <v>185</v>
      </c>
      <c r="AC31" s="46"/>
      <c r="AD31" s="38" t="s">
        <v>192</v>
      </c>
      <c r="AE31" s="41" t="s">
        <v>186</v>
      </c>
      <c r="AF31" s="46"/>
      <c r="AG31" s="46"/>
      <c r="AH31" s="41" t="str">
        <f t="shared" si="0"/>
        <v>Penobscot River</v>
      </c>
      <c r="AI31" s="46">
        <f t="shared" si="0"/>
        <v>44.686268165431599</v>
      </c>
      <c r="AJ31" s="46">
        <f t="shared" si="0"/>
        <v>-68.817097075802906</v>
      </c>
      <c r="AK31" s="45">
        <v>45874</v>
      </c>
      <c r="AL31" s="47"/>
      <c r="AM31" s="42"/>
      <c r="AN31" s="46"/>
      <c r="AO31" s="46"/>
      <c r="AP31" s="46"/>
      <c r="AQ31" s="46"/>
      <c r="AR31" s="41" t="str">
        <f t="shared" si="1"/>
        <v>Penobscot River</v>
      </c>
      <c r="AS31" s="46"/>
      <c r="AT31" s="46"/>
      <c r="AU31" s="46"/>
      <c r="AV31" s="41" t="s">
        <v>187</v>
      </c>
      <c r="AW31" s="46"/>
      <c r="AX31" s="41" t="s">
        <v>187</v>
      </c>
      <c r="AY31" s="41" t="s">
        <v>188</v>
      </c>
      <c r="AZ31" s="46"/>
      <c r="BA31" s="46"/>
      <c r="BB31" s="46"/>
      <c r="BC31" s="46"/>
      <c r="BD31" s="46"/>
      <c r="BE31" s="46"/>
    </row>
    <row r="32" spans="1:57" ht="34.5" thickBot="1" x14ac:dyDescent="0.3">
      <c r="A32" s="49" t="s">
        <v>233</v>
      </c>
      <c r="B32" s="39" t="s">
        <v>173</v>
      </c>
      <c r="C32" s="40" t="s">
        <v>174</v>
      </c>
      <c r="D32" s="41" t="s">
        <v>198</v>
      </c>
      <c r="E32" s="46">
        <f>_xlfn.XLOOKUP(F32, [1]Sheet2!F$2:F$51,[1]Sheet2!J$2:J$51,"")</f>
        <v>1645278</v>
      </c>
      <c r="F32" s="42">
        <v>201232</v>
      </c>
      <c r="G32" s="41" t="s">
        <v>199</v>
      </c>
      <c r="H32" s="41" t="s">
        <v>175</v>
      </c>
      <c r="I32" s="41" t="s">
        <v>176</v>
      </c>
      <c r="J32" s="43">
        <v>45874</v>
      </c>
      <c r="K32" s="46" t="s">
        <v>200</v>
      </c>
      <c r="L32" s="46" t="s">
        <v>201</v>
      </c>
      <c r="M32" s="44" t="s">
        <v>195</v>
      </c>
      <c r="N32" s="41" t="s">
        <v>202</v>
      </c>
      <c r="O32" s="38" t="s">
        <v>193</v>
      </c>
      <c r="P32" s="41" t="s">
        <v>194</v>
      </c>
      <c r="Q32" s="41" t="s">
        <v>181</v>
      </c>
      <c r="R32" s="46">
        <v>44.686268165431599</v>
      </c>
      <c r="S32" s="46">
        <v>-68.817097075802906</v>
      </c>
      <c r="T32" s="41" t="s">
        <v>182</v>
      </c>
      <c r="U32" s="41" t="s">
        <v>183</v>
      </c>
      <c r="V32" s="38">
        <f>[1]tid.cln!T32/100</f>
        <v>0.89</v>
      </c>
      <c r="W32" s="42" t="s">
        <v>192</v>
      </c>
      <c r="X32" s="41" t="s">
        <v>184</v>
      </c>
      <c r="Y32" s="46"/>
      <c r="Z32" s="46"/>
      <c r="AA32" s="41" t="s">
        <v>254</v>
      </c>
      <c r="AB32" s="41" t="s">
        <v>185</v>
      </c>
      <c r="AC32" s="46"/>
      <c r="AD32" s="38" t="s">
        <v>192</v>
      </c>
      <c r="AE32" s="41" t="s">
        <v>186</v>
      </c>
      <c r="AF32" s="46"/>
      <c r="AG32" s="46"/>
      <c r="AH32" s="41" t="str">
        <f t="shared" si="0"/>
        <v>Penobscot River</v>
      </c>
      <c r="AI32" s="46">
        <f t="shared" si="0"/>
        <v>44.686268165431599</v>
      </c>
      <c r="AJ32" s="46">
        <f t="shared" si="0"/>
        <v>-68.817097075802906</v>
      </c>
      <c r="AK32" s="45">
        <v>45874</v>
      </c>
      <c r="AL32" s="47"/>
      <c r="AM32" s="42"/>
      <c r="AN32" s="46"/>
      <c r="AO32" s="46"/>
      <c r="AP32" s="46"/>
      <c r="AQ32" s="46"/>
      <c r="AR32" s="41" t="str">
        <f t="shared" si="1"/>
        <v>Penobscot River</v>
      </c>
      <c r="AS32" s="46"/>
      <c r="AT32" s="46"/>
      <c r="AU32" s="46"/>
      <c r="AV32" s="41" t="s">
        <v>187</v>
      </c>
      <c r="AW32" s="46"/>
      <c r="AX32" s="41" t="s">
        <v>187</v>
      </c>
      <c r="AY32" s="41" t="s">
        <v>188</v>
      </c>
      <c r="AZ32" s="46"/>
      <c r="BA32" s="46"/>
      <c r="BB32" s="46"/>
      <c r="BC32" s="46"/>
      <c r="BD32" s="46"/>
      <c r="BE32" s="46"/>
    </row>
    <row r="33" spans="1:57" ht="34.5" thickBot="1" x14ac:dyDescent="0.3">
      <c r="A33" s="49" t="s">
        <v>234</v>
      </c>
      <c r="B33" s="39" t="s">
        <v>173</v>
      </c>
      <c r="C33" s="40" t="s">
        <v>174</v>
      </c>
      <c r="D33" s="41" t="s">
        <v>198</v>
      </c>
      <c r="E33" s="46">
        <f>_xlfn.XLOOKUP(F33, [1]Sheet2!F$2:F$51,[1]Sheet2!J$2:J$51,"")</f>
        <v>1645280</v>
      </c>
      <c r="F33" s="42">
        <v>201234</v>
      </c>
      <c r="G33" s="41" t="s">
        <v>199</v>
      </c>
      <c r="H33" s="41" t="s">
        <v>175</v>
      </c>
      <c r="I33" s="41" t="s">
        <v>176</v>
      </c>
      <c r="J33" s="43">
        <v>45874</v>
      </c>
      <c r="K33" s="46" t="s">
        <v>200</v>
      </c>
      <c r="L33" s="46" t="s">
        <v>201</v>
      </c>
      <c r="M33" s="44" t="s">
        <v>195</v>
      </c>
      <c r="N33" s="41" t="s">
        <v>202</v>
      </c>
      <c r="O33" s="38" t="s">
        <v>193</v>
      </c>
      <c r="P33" s="41" t="s">
        <v>194</v>
      </c>
      <c r="Q33" s="41" t="s">
        <v>181</v>
      </c>
      <c r="R33" s="46">
        <v>44.686268165431599</v>
      </c>
      <c r="S33" s="46">
        <v>-68.817097075802906</v>
      </c>
      <c r="T33" s="41" t="s">
        <v>182</v>
      </c>
      <c r="U33" s="41" t="s">
        <v>183</v>
      </c>
      <c r="V33" s="38">
        <f>[1]tid.cln!T33/100</f>
        <v>0.86</v>
      </c>
      <c r="W33" s="42" t="s">
        <v>192</v>
      </c>
      <c r="X33" s="41" t="s">
        <v>184</v>
      </c>
      <c r="Y33" s="46"/>
      <c r="Z33" s="46"/>
      <c r="AA33" s="41" t="s">
        <v>254</v>
      </c>
      <c r="AB33" s="41" t="s">
        <v>185</v>
      </c>
      <c r="AC33" s="46"/>
      <c r="AD33" s="38" t="s">
        <v>192</v>
      </c>
      <c r="AE33" s="41" t="s">
        <v>186</v>
      </c>
      <c r="AF33" s="46"/>
      <c r="AG33" s="46"/>
      <c r="AH33" s="41" t="str">
        <f t="shared" si="0"/>
        <v>Penobscot River</v>
      </c>
      <c r="AI33" s="46">
        <f t="shared" si="0"/>
        <v>44.686268165431599</v>
      </c>
      <c r="AJ33" s="46">
        <f t="shared" si="0"/>
        <v>-68.817097075802906</v>
      </c>
      <c r="AK33" s="45">
        <v>45874</v>
      </c>
      <c r="AL33" s="47"/>
      <c r="AM33" s="42"/>
      <c r="AN33" s="46"/>
      <c r="AO33" s="46"/>
      <c r="AP33" s="46"/>
      <c r="AQ33" s="46"/>
      <c r="AR33" s="41" t="str">
        <f t="shared" si="1"/>
        <v>Penobscot River</v>
      </c>
      <c r="AS33" s="46"/>
      <c r="AT33" s="46"/>
      <c r="AU33" s="46"/>
      <c r="AV33" s="41" t="s">
        <v>187</v>
      </c>
      <c r="AW33" s="46"/>
      <c r="AX33" s="41" t="s">
        <v>187</v>
      </c>
      <c r="AY33" s="41" t="s">
        <v>188</v>
      </c>
      <c r="AZ33" s="46"/>
      <c r="BA33" s="46"/>
      <c r="BB33" s="46"/>
      <c r="BC33" s="46"/>
      <c r="BD33" s="46"/>
      <c r="BE33" s="46"/>
    </row>
    <row r="34" spans="1:57" ht="34.5" thickBot="1" x14ac:dyDescent="0.3">
      <c r="A34" s="49" t="s">
        <v>235</v>
      </c>
      <c r="B34" s="39" t="s">
        <v>173</v>
      </c>
      <c r="C34" s="40" t="s">
        <v>174</v>
      </c>
      <c r="D34" s="41" t="s">
        <v>198</v>
      </c>
      <c r="E34" s="46">
        <f>_xlfn.XLOOKUP(F34, [1]Sheet2!F$2:F$51,[1]Sheet2!J$2:J$51,"")</f>
        <v>1645282</v>
      </c>
      <c r="F34" s="42">
        <v>201236</v>
      </c>
      <c r="G34" s="41" t="s">
        <v>199</v>
      </c>
      <c r="H34" s="41" t="s">
        <v>175</v>
      </c>
      <c r="I34" s="41" t="s">
        <v>176</v>
      </c>
      <c r="J34" s="43">
        <v>45874</v>
      </c>
      <c r="K34" s="46" t="s">
        <v>200</v>
      </c>
      <c r="L34" s="46" t="s">
        <v>201</v>
      </c>
      <c r="M34" s="44" t="s">
        <v>195</v>
      </c>
      <c r="N34" s="41" t="s">
        <v>202</v>
      </c>
      <c r="O34" s="38" t="s">
        <v>193</v>
      </c>
      <c r="P34" s="41" t="s">
        <v>194</v>
      </c>
      <c r="Q34" s="41" t="s">
        <v>181</v>
      </c>
      <c r="R34" s="46">
        <v>44.686268165431599</v>
      </c>
      <c r="S34" s="46">
        <v>-68.817097075802906</v>
      </c>
      <c r="T34" s="41" t="s">
        <v>182</v>
      </c>
      <c r="U34" s="41" t="s">
        <v>183</v>
      </c>
      <c r="V34" s="38">
        <f>[1]tid.cln!T34/100</f>
        <v>0.87</v>
      </c>
      <c r="W34" s="42" t="s">
        <v>192</v>
      </c>
      <c r="X34" s="41" t="s">
        <v>184</v>
      </c>
      <c r="Y34" s="46"/>
      <c r="Z34" s="46"/>
      <c r="AA34" s="41" t="s">
        <v>254</v>
      </c>
      <c r="AB34" s="41" t="s">
        <v>185</v>
      </c>
      <c r="AC34" s="46"/>
      <c r="AD34" s="38" t="s">
        <v>192</v>
      </c>
      <c r="AE34" s="41" t="s">
        <v>186</v>
      </c>
      <c r="AF34" s="46"/>
      <c r="AG34" s="46"/>
      <c r="AH34" s="41" t="str">
        <f t="shared" si="0"/>
        <v>Penobscot River</v>
      </c>
      <c r="AI34" s="46">
        <f t="shared" si="0"/>
        <v>44.686268165431599</v>
      </c>
      <c r="AJ34" s="46">
        <f t="shared" si="0"/>
        <v>-68.817097075802906</v>
      </c>
      <c r="AK34" s="45">
        <v>45874</v>
      </c>
      <c r="AL34" s="47"/>
      <c r="AM34" s="42"/>
      <c r="AN34" s="46"/>
      <c r="AO34" s="46"/>
      <c r="AP34" s="46"/>
      <c r="AQ34" s="46"/>
      <c r="AR34" s="41" t="str">
        <f t="shared" si="1"/>
        <v>Penobscot River</v>
      </c>
      <c r="AS34" s="46"/>
      <c r="AT34" s="46"/>
      <c r="AU34" s="46"/>
      <c r="AV34" s="41" t="s">
        <v>187</v>
      </c>
      <c r="AW34" s="46"/>
      <c r="AX34" s="41" t="s">
        <v>187</v>
      </c>
      <c r="AY34" s="41" t="s">
        <v>188</v>
      </c>
      <c r="AZ34" s="46"/>
      <c r="BA34" s="46"/>
      <c r="BB34" s="46"/>
      <c r="BC34" s="46"/>
      <c r="BD34" s="46"/>
      <c r="BE34" s="46"/>
    </row>
    <row r="35" spans="1:57" ht="34.5" thickBot="1" x14ac:dyDescent="0.3">
      <c r="A35" s="49" t="s">
        <v>236</v>
      </c>
      <c r="B35" s="39" t="s">
        <v>173</v>
      </c>
      <c r="C35" s="40" t="s">
        <v>174</v>
      </c>
      <c r="D35" s="41" t="s">
        <v>198</v>
      </c>
      <c r="E35" s="46">
        <f>_xlfn.XLOOKUP(F35, [1]Sheet2!F$2:F$51,[1]Sheet2!J$2:J$51,"")</f>
        <v>1645285</v>
      </c>
      <c r="F35" s="42">
        <v>201239</v>
      </c>
      <c r="G35" s="41" t="s">
        <v>199</v>
      </c>
      <c r="H35" s="41" t="s">
        <v>175</v>
      </c>
      <c r="I35" s="41" t="s">
        <v>176</v>
      </c>
      <c r="J35" s="43">
        <v>45874</v>
      </c>
      <c r="K35" s="46" t="s">
        <v>200</v>
      </c>
      <c r="L35" s="46" t="s">
        <v>201</v>
      </c>
      <c r="M35" s="44" t="s">
        <v>195</v>
      </c>
      <c r="N35" s="41" t="s">
        <v>202</v>
      </c>
      <c r="O35" s="38" t="s">
        <v>193</v>
      </c>
      <c r="P35" s="41" t="s">
        <v>194</v>
      </c>
      <c r="Q35" s="41" t="s">
        <v>181</v>
      </c>
      <c r="R35" s="46">
        <v>44.686268165431599</v>
      </c>
      <c r="S35" s="46">
        <v>-68.817097075802906</v>
      </c>
      <c r="T35" s="41" t="s">
        <v>182</v>
      </c>
      <c r="U35" s="41" t="s">
        <v>183</v>
      </c>
      <c r="V35" s="38">
        <f>[1]tid.cln!T35/100</f>
        <v>0.94</v>
      </c>
      <c r="W35" s="42" t="s">
        <v>192</v>
      </c>
      <c r="X35" s="41" t="s">
        <v>184</v>
      </c>
      <c r="Y35" s="46"/>
      <c r="Z35" s="46"/>
      <c r="AA35" s="41" t="s">
        <v>254</v>
      </c>
      <c r="AB35" s="41" t="s">
        <v>185</v>
      </c>
      <c r="AC35" s="46"/>
      <c r="AD35" s="38" t="s">
        <v>192</v>
      </c>
      <c r="AE35" s="41" t="s">
        <v>186</v>
      </c>
      <c r="AF35" s="46"/>
      <c r="AG35" s="46"/>
      <c r="AH35" s="41" t="str">
        <f t="shared" si="0"/>
        <v>Penobscot River</v>
      </c>
      <c r="AI35" s="46">
        <f t="shared" si="0"/>
        <v>44.686268165431599</v>
      </c>
      <c r="AJ35" s="46">
        <f t="shared" si="0"/>
        <v>-68.817097075802906</v>
      </c>
      <c r="AK35" s="45">
        <v>45874</v>
      </c>
      <c r="AL35" s="47"/>
      <c r="AM35" s="42"/>
      <c r="AN35" s="46"/>
      <c r="AO35" s="46"/>
      <c r="AP35" s="46"/>
      <c r="AQ35" s="46"/>
      <c r="AR35" s="41" t="str">
        <f t="shared" si="1"/>
        <v>Penobscot River</v>
      </c>
      <c r="AS35" s="46"/>
      <c r="AT35" s="46"/>
      <c r="AU35" s="46"/>
      <c r="AV35" s="41" t="s">
        <v>187</v>
      </c>
      <c r="AW35" s="46"/>
      <c r="AX35" s="41" t="s">
        <v>187</v>
      </c>
      <c r="AY35" s="41" t="s">
        <v>188</v>
      </c>
      <c r="AZ35" s="46"/>
      <c r="BA35" s="46"/>
      <c r="BB35" s="46"/>
      <c r="BC35" s="46"/>
      <c r="BD35" s="46"/>
      <c r="BE35" s="46"/>
    </row>
    <row r="36" spans="1:57" ht="34.5" thickBot="1" x14ac:dyDescent="0.3">
      <c r="A36" s="49" t="s">
        <v>237</v>
      </c>
      <c r="B36" s="39" t="s">
        <v>173</v>
      </c>
      <c r="C36" s="40" t="s">
        <v>174</v>
      </c>
      <c r="D36" s="41" t="s">
        <v>198</v>
      </c>
      <c r="E36" s="46">
        <f>_xlfn.XLOOKUP(F36, [1]Sheet2!F$2:F$51,[1]Sheet2!J$2:J$51,"")</f>
        <v>1645287</v>
      </c>
      <c r="F36" s="42">
        <v>201241</v>
      </c>
      <c r="G36" s="41" t="s">
        <v>199</v>
      </c>
      <c r="H36" s="41" t="s">
        <v>175</v>
      </c>
      <c r="I36" s="41" t="s">
        <v>176</v>
      </c>
      <c r="J36" s="43">
        <v>45874</v>
      </c>
      <c r="K36" s="46" t="s">
        <v>200</v>
      </c>
      <c r="L36" s="46" t="s">
        <v>201</v>
      </c>
      <c r="M36" s="44" t="s">
        <v>195</v>
      </c>
      <c r="N36" s="41" t="s">
        <v>202</v>
      </c>
      <c r="O36" s="38" t="s">
        <v>193</v>
      </c>
      <c r="P36" s="41" t="s">
        <v>194</v>
      </c>
      <c r="Q36" s="41" t="s">
        <v>181</v>
      </c>
      <c r="R36" s="46">
        <v>44.686268165431599</v>
      </c>
      <c r="S36" s="46">
        <v>-68.817097075802906</v>
      </c>
      <c r="T36" s="41" t="s">
        <v>182</v>
      </c>
      <c r="U36" s="41" t="s">
        <v>183</v>
      </c>
      <c r="V36" s="38">
        <f>[1]tid.cln!T36/100</f>
        <v>0.95</v>
      </c>
      <c r="W36" s="42" t="s">
        <v>192</v>
      </c>
      <c r="X36" s="41" t="s">
        <v>184</v>
      </c>
      <c r="Y36" s="46"/>
      <c r="Z36" s="46"/>
      <c r="AA36" s="41" t="s">
        <v>254</v>
      </c>
      <c r="AB36" s="41" t="s">
        <v>185</v>
      </c>
      <c r="AC36" s="46"/>
      <c r="AD36" s="38" t="s">
        <v>192</v>
      </c>
      <c r="AE36" s="41" t="s">
        <v>186</v>
      </c>
      <c r="AF36" s="46"/>
      <c r="AG36" s="46"/>
      <c r="AH36" s="41" t="str">
        <f t="shared" si="0"/>
        <v>Penobscot River</v>
      </c>
      <c r="AI36" s="46">
        <f t="shared" si="0"/>
        <v>44.686268165431599</v>
      </c>
      <c r="AJ36" s="46">
        <f t="shared" si="0"/>
        <v>-68.817097075802906</v>
      </c>
      <c r="AK36" s="45">
        <v>45874</v>
      </c>
      <c r="AL36" s="47"/>
      <c r="AM36" s="42"/>
      <c r="AN36" s="46"/>
      <c r="AO36" s="46"/>
      <c r="AP36" s="46"/>
      <c r="AQ36" s="46"/>
      <c r="AR36" s="41" t="str">
        <f t="shared" si="1"/>
        <v>Penobscot River</v>
      </c>
      <c r="AS36" s="46"/>
      <c r="AT36" s="46"/>
      <c r="AU36" s="46"/>
      <c r="AV36" s="41" t="s">
        <v>187</v>
      </c>
      <c r="AW36" s="46"/>
      <c r="AX36" s="41" t="s">
        <v>187</v>
      </c>
      <c r="AY36" s="41" t="s">
        <v>188</v>
      </c>
      <c r="AZ36" s="46"/>
      <c r="BA36" s="46"/>
      <c r="BB36" s="46"/>
      <c r="BC36" s="46"/>
      <c r="BD36" s="46"/>
      <c r="BE36" s="46"/>
    </row>
    <row r="37" spans="1:57" ht="34.5" thickBot="1" x14ac:dyDescent="0.3">
      <c r="A37" s="49" t="s">
        <v>238</v>
      </c>
      <c r="B37" s="39" t="s">
        <v>173</v>
      </c>
      <c r="C37" s="40" t="s">
        <v>174</v>
      </c>
      <c r="D37" s="41" t="s">
        <v>198</v>
      </c>
      <c r="E37" s="46">
        <f>_xlfn.XLOOKUP(F37, [1]Sheet2!F$2:F$51,[1]Sheet2!J$2:J$51,"")</f>
        <v>1645290</v>
      </c>
      <c r="F37" s="42">
        <v>201244</v>
      </c>
      <c r="G37" s="41" t="s">
        <v>199</v>
      </c>
      <c r="H37" s="41" t="s">
        <v>175</v>
      </c>
      <c r="I37" s="41" t="s">
        <v>176</v>
      </c>
      <c r="J37" s="43">
        <v>45874</v>
      </c>
      <c r="K37" s="46" t="s">
        <v>200</v>
      </c>
      <c r="L37" s="46" t="s">
        <v>201</v>
      </c>
      <c r="M37" s="44" t="s">
        <v>195</v>
      </c>
      <c r="N37" s="41" t="s">
        <v>202</v>
      </c>
      <c r="O37" s="38" t="s">
        <v>179</v>
      </c>
      <c r="P37" s="41" t="s">
        <v>180</v>
      </c>
      <c r="Q37" s="41" t="s">
        <v>181</v>
      </c>
      <c r="R37" s="46">
        <v>44.686268165431599</v>
      </c>
      <c r="S37" s="46">
        <v>-68.817097075802906</v>
      </c>
      <c r="T37" s="41" t="s">
        <v>182</v>
      </c>
      <c r="U37" s="41" t="s">
        <v>183</v>
      </c>
      <c r="V37" s="38">
        <f>[1]tid.cln!T37/100</f>
        <v>0.91</v>
      </c>
      <c r="W37" s="42" t="s">
        <v>192</v>
      </c>
      <c r="X37" s="41" t="s">
        <v>184</v>
      </c>
      <c r="Y37" s="46"/>
      <c r="Z37" s="46"/>
      <c r="AA37" s="41" t="s">
        <v>254</v>
      </c>
      <c r="AB37" s="41" t="s">
        <v>185</v>
      </c>
      <c r="AC37" s="46"/>
      <c r="AD37" s="38" t="s">
        <v>192</v>
      </c>
      <c r="AE37" s="41" t="s">
        <v>186</v>
      </c>
      <c r="AF37" s="46"/>
      <c r="AG37" s="46"/>
      <c r="AH37" s="41" t="str">
        <f t="shared" si="0"/>
        <v>Penobscot River</v>
      </c>
      <c r="AI37" s="46">
        <f t="shared" si="0"/>
        <v>44.686268165431599</v>
      </c>
      <c r="AJ37" s="46">
        <f t="shared" si="0"/>
        <v>-68.817097075802906</v>
      </c>
      <c r="AK37" s="45">
        <v>45874</v>
      </c>
      <c r="AL37" s="47"/>
      <c r="AM37" s="42"/>
      <c r="AN37" s="46"/>
      <c r="AO37" s="46"/>
      <c r="AP37" s="46"/>
      <c r="AQ37" s="46"/>
      <c r="AR37" s="41" t="str">
        <f t="shared" si="1"/>
        <v>Penobscot River</v>
      </c>
      <c r="AS37" s="46"/>
      <c r="AT37" s="46"/>
      <c r="AU37" s="46"/>
      <c r="AV37" s="41" t="s">
        <v>187</v>
      </c>
      <c r="AW37" s="46"/>
      <c r="AX37" s="41" t="s">
        <v>187</v>
      </c>
      <c r="AY37" s="41" t="s">
        <v>188</v>
      </c>
      <c r="AZ37" s="46"/>
      <c r="BA37" s="46"/>
      <c r="BB37" s="46"/>
      <c r="BC37" s="46"/>
      <c r="BD37" s="46"/>
      <c r="BE37" s="46"/>
    </row>
    <row r="38" spans="1:57" ht="34.5" thickBot="1" x14ac:dyDescent="0.3">
      <c r="A38" s="49" t="s">
        <v>239</v>
      </c>
      <c r="B38" s="39" t="s">
        <v>173</v>
      </c>
      <c r="C38" s="40" t="s">
        <v>174</v>
      </c>
      <c r="D38" s="41" t="s">
        <v>198</v>
      </c>
      <c r="E38" s="46">
        <f>_xlfn.XLOOKUP(F38, [1]Sheet2!F$2:F$51,[1]Sheet2!J$2:J$51,"")</f>
        <v>1645291</v>
      </c>
      <c r="F38" s="42">
        <v>201245</v>
      </c>
      <c r="G38" s="41" t="s">
        <v>199</v>
      </c>
      <c r="H38" s="41" t="s">
        <v>175</v>
      </c>
      <c r="I38" s="41" t="s">
        <v>176</v>
      </c>
      <c r="J38" s="43">
        <v>45874</v>
      </c>
      <c r="K38" s="46" t="s">
        <v>200</v>
      </c>
      <c r="L38" s="46" t="s">
        <v>201</v>
      </c>
      <c r="M38" s="44" t="s">
        <v>195</v>
      </c>
      <c r="N38" s="41" t="s">
        <v>202</v>
      </c>
      <c r="O38" s="38" t="s">
        <v>179</v>
      </c>
      <c r="P38" s="41" t="s">
        <v>180</v>
      </c>
      <c r="Q38" s="41" t="s">
        <v>181</v>
      </c>
      <c r="R38" s="46">
        <v>44.686268165431599</v>
      </c>
      <c r="S38" s="46">
        <v>-68.817097075802906</v>
      </c>
      <c r="T38" s="41" t="s">
        <v>182</v>
      </c>
      <c r="U38" s="41" t="s">
        <v>183</v>
      </c>
      <c r="V38" s="38">
        <f>[1]tid.cln!T38/100</f>
        <v>1.0900000000000001</v>
      </c>
      <c r="W38" s="42" t="s">
        <v>192</v>
      </c>
      <c r="X38" s="41" t="s">
        <v>184</v>
      </c>
      <c r="Y38" s="46"/>
      <c r="Z38" s="46"/>
      <c r="AA38" s="41" t="s">
        <v>254</v>
      </c>
      <c r="AB38" s="41" t="s">
        <v>185</v>
      </c>
      <c r="AC38" s="46"/>
      <c r="AD38" s="38" t="s">
        <v>192</v>
      </c>
      <c r="AE38" s="41" t="s">
        <v>186</v>
      </c>
      <c r="AF38" s="46"/>
      <c r="AG38" s="46"/>
      <c r="AH38" s="41" t="str">
        <f t="shared" si="0"/>
        <v>Penobscot River</v>
      </c>
      <c r="AI38" s="46">
        <f t="shared" si="0"/>
        <v>44.686268165431599</v>
      </c>
      <c r="AJ38" s="46">
        <f t="shared" si="0"/>
        <v>-68.817097075802906</v>
      </c>
      <c r="AK38" s="45">
        <v>45874</v>
      </c>
      <c r="AL38" s="47"/>
      <c r="AM38" s="42"/>
      <c r="AN38" s="46"/>
      <c r="AO38" s="46"/>
      <c r="AP38" s="46"/>
      <c r="AQ38" s="46"/>
      <c r="AR38" s="41" t="str">
        <f t="shared" si="1"/>
        <v>Penobscot River</v>
      </c>
      <c r="AS38" s="46"/>
      <c r="AT38" s="46"/>
      <c r="AU38" s="46"/>
      <c r="AV38" s="41" t="s">
        <v>187</v>
      </c>
      <c r="AW38" s="46"/>
      <c r="AX38" s="41" t="s">
        <v>187</v>
      </c>
      <c r="AY38" s="41" t="s">
        <v>188</v>
      </c>
      <c r="AZ38" s="46"/>
      <c r="BA38" s="46"/>
      <c r="BB38" s="46"/>
      <c r="BC38" s="46"/>
      <c r="BD38" s="46"/>
      <c r="BE38" s="46"/>
    </row>
    <row r="39" spans="1:57" ht="34.5" thickBot="1" x14ac:dyDescent="0.3">
      <c r="A39" s="49" t="s">
        <v>240</v>
      </c>
      <c r="B39" s="39" t="s">
        <v>173</v>
      </c>
      <c r="C39" s="40" t="s">
        <v>174</v>
      </c>
      <c r="D39" s="41" t="s">
        <v>198</v>
      </c>
      <c r="E39" s="46">
        <f>_xlfn.XLOOKUP(F39, [1]Sheet2!F$2:F$51,[1]Sheet2!J$2:J$51,"")</f>
        <v>1645293</v>
      </c>
      <c r="F39" s="42">
        <v>201247</v>
      </c>
      <c r="G39" s="41" t="s">
        <v>199</v>
      </c>
      <c r="H39" s="41" t="s">
        <v>175</v>
      </c>
      <c r="I39" s="41" t="s">
        <v>176</v>
      </c>
      <c r="J39" s="43">
        <v>45874</v>
      </c>
      <c r="K39" s="46" t="s">
        <v>200</v>
      </c>
      <c r="L39" s="46" t="s">
        <v>201</v>
      </c>
      <c r="M39" s="44" t="s">
        <v>195</v>
      </c>
      <c r="N39" s="41" t="s">
        <v>202</v>
      </c>
      <c r="O39" s="38" t="s">
        <v>179</v>
      </c>
      <c r="P39" s="41" t="s">
        <v>180</v>
      </c>
      <c r="Q39" s="41" t="s">
        <v>181</v>
      </c>
      <c r="R39" s="46">
        <v>44.686268165431599</v>
      </c>
      <c r="S39" s="46">
        <v>-68.817097075802906</v>
      </c>
      <c r="T39" s="41" t="s">
        <v>182</v>
      </c>
      <c r="U39" s="41" t="s">
        <v>183</v>
      </c>
      <c r="V39" s="38">
        <f>[1]tid.cln!T39/100</f>
        <v>0.9</v>
      </c>
      <c r="W39" s="42" t="s">
        <v>192</v>
      </c>
      <c r="X39" s="41" t="s">
        <v>184</v>
      </c>
      <c r="Y39" s="46"/>
      <c r="Z39" s="46"/>
      <c r="AA39" s="41" t="s">
        <v>254</v>
      </c>
      <c r="AB39" s="41" t="s">
        <v>185</v>
      </c>
      <c r="AC39" s="46"/>
      <c r="AD39" s="38" t="s">
        <v>192</v>
      </c>
      <c r="AE39" s="41" t="s">
        <v>186</v>
      </c>
      <c r="AF39" s="46"/>
      <c r="AG39" s="46"/>
      <c r="AH39" s="41" t="str">
        <f t="shared" si="0"/>
        <v>Penobscot River</v>
      </c>
      <c r="AI39" s="46">
        <f t="shared" si="0"/>
        <v>44.686268165431599</v>
      </c>
      <c r="AJ39" s="46">
        <f t="shared" si="0"/>
        <v>-68.817097075802906</v>
      </c>
      <c r="AK39" s="45">
        <v>45874</v>
      </c>
      <c r="AL39" s="47"/>
      <c r="AM39" s="42"/>
      <c r="AN39" s="46"/>
      <c r="AO39" s="46"/>
      <c r="AP39" s="46"/>
      <c r="AQ39" s="46"/>
      <c r="AR39" s="41" t="str">
        <f t="shared" si="1"/>
        <v>Penobscot River</v>
      </c>
      <c r="AS39" s="46"/>
      <c r="AT39" s="46"/>
      <c r="AU39" s="46"/>
      <c r="AV39" s="41" t="s">
        <v>187</v>
      </c>
      <c r="AW39" s="46"/>
      <c r="AX39" s="41" t="s">
        <v>187</v>
      </c>
      <c r="AY39" s="41" t="s">
        <v>188</v>
      </c>
      <c r="AZ39" s="46"/>
      <c r="BA39" s="46"/>
      <c r="BB39" s="46"/>
      <c r="BC39" s="46"/>
      <c r="BD39" s="46"/>
      <c r="BE39" s="46"/>
    </row>
    <row r="40" spans="1:57" ht="34.5" thickBot="1" x14ac:dyDescent="0.3">
      <c r="A40" s="49" t="s">
        <v>241</v>
      </c>
      <c r="B40" s="39" t="s">
        <v>173</v>
      </c>
      <c r="C40" s="40" t="s">
        <v>174</v>
      </c>
      <c r="D40" s="41" t="s">
        <v>198</v>
      </c>
      <c r="E40" s="46">
        <f>_xlfn.XLOOKUP(F40, [1]Sheet2!F$2:F$51,[1]Sheet2!J$2:J$51,"")</f>
        <v>1645272</v>
      </c>
      <c r="F40" s="42">
        <v>201226</v>
      </c>
      <c r="G40" s="41" t="s">
        <v>199</v>
      </c>
      <c r="H40" s="41" t="s">
        <v>175</v>
      </c>
      <c r="I40" s="41" t="s">
        <v>176</v>
      </c>
      <c r="J40" s="43">
        <v>45886</v>
      </c>
      <c r="K40" s="46" t="s">
        <v>200</v>
      </c>
      <c r="L40" s="46" t="s">
        <v>201</v>
      </c>
      <c r="M40" s="44" t="s">
        <v>195</v>
      </c>
      <c r="N40" s="41" t="s">
        <v>202</v>
      </c>
      <c r="O40" s="38" t="s">
        <v>179</v>
      </c>
      <c r="P40" s="41" t="s">
        <v>180</v>
      </c>
      <c r="Q40" s="41" t="s">
        <v>181</v>
      </c>
      <c r="R40" s="46">
        <v>44.686268165431599</v>
      </c>
      <c r="S40" s="46">
        <v>-68.817097075802906</v>
      </c>
      <c r="T40" s="41" t="s">
        <v>182</v>
      </c>
      <c r="U40" s="41" t="s">
        <v>183</v>
      </c>
      <c r="V40" s="38">
        <f>[1]tid.cln!T40/100</f>
        <v>0.95</v>
      </c>
      <c r="W40" s="42" t="s">
        <v>192</v>
      </c>
      <c r="X40" s="41" t="s">
        <v>184</v>
      </c>
      <c r="Y40" s="46"/>
      <c r="Z40" s="46"/>
      <c r="AA40" s="41" t="s">
        <v>254</v>
      </c>
      <c r="AB40" s="41" t="s">
        <v>185</v>
      </c>
      <c r="AC40" s="46"/>
      <c r="AD40" s="38" t="s">
        <v>192</v>
      </c>
      <c r="AE40" s="41" t="s">
        <v>186</v>
      </c>
      <c r="AF40" s="46"/>
      <c r="AG40" s="46"/>
      <c r="AH40" s="41" t="str">
        <f t="shared" si="0"/>
        <v>Penobscot River</v>
      </c>
      <c r="AI40" s="46">
        <f t="shared" si="0"/>
        <v>44.686268165431599</v>
      </c>
      <c r="AJ40" s="46">
        <f t="shared" si="0"/>
        <v>-68.817097075802906</v>
      </c>
      <c r="AK40" s="45">
        <v>45886</v>
      </c>
      <c r="AL40" s="47"/>
      <c r="AM40" s="42"/>
      <c r="AN40" s="46"/>
      <c r="AO40" s="46"/>
      <c r="AP40" s="46"/>
      <c r="AQ40" s="46"/>
      <c r="AR40" s="41" t="str">
        <f t="shared" si="1"/>
        <v>Penobscot River</v>
      </c>
      <c r="AS40" s="46"/>
      <c r="AT40" s="46"/>
      <c r="AU40" s="46"/>
      <c r="AV40" s="41" t="s">
        <v>187</v>
      </c>
      <c r="AW40" s="46"/>
      <c r="AX40" s="41" t="s">
        <v>187</v>
      </c>
      <c r="AY40" s="41" t="s">
        <v>188</v>
      </c>
      <c r="AZ40" s="46"/>
      <c r="BA40" s="46"/>
      <c r="BB40" s="46"/>
      <c r="BC40" s="46"/>
      <c r="BD40" s="46"/>
      <c r="BE40" s="46"/>
    </row>
    <row r="41" spans="1:57" ht="34.5" thickBot="1" x14ac:dyDescent="0.3">
      <c r="A41" s="49" t="s">
        <v>242</v>
      </c>
      <c r="B41" s="39" t="s">
        <v>173</v>
      </c>
      <c r="C41" s="40" t="s">
        <v>174</v>
      </c>
      <c r="D41" s="41" t="s">
        <v>198</v>
      </c>
      <c r="E41" s="46">
        <f>_xlfn.XLOOKUP(F41, [1]Sheet2!F$2:F$51,[1]Sheet2!J$2:J$51,"")</f>
        <v>1645276</v>
      </c>
      <c r="F41" s="42">
        <v>201230</v>
      </c>
      <c r="G41" s="41" t="s">
        <v>199</v>
      </c>
      <c r="H41" s="41" t="s">
        <v>175</v>
      </c>
      <c r="I41" s="41" t="s">
        <v>176</v>
      </c>
      <c r="J41" s="43">
        <v>45886</v>
      </c>
      <c r="K41" s="46" t="s">
        <v>200</v>
      </c>
      <c r="L41" s="46" t="s">
        <v>201</v>
      </c>
      <c r="M41" s="44" t="s">
        <v>195</v>
      </c>
      <c r="N41" s="41" t="s">
        <v>202</v>
      </c>
      <c r="O41" s="38" t="s">
        <v>179</v>
      </c>
      <c r="P41" s="41" t="s">
        <v>180</v>
      </c>
      <c r="Q41" s="41" t="s">
        <v>181</v>
      </c>
      <c r="R41" s="46">
        <v>44.686268165431599</v>
      </c>
      <c r="S41" s="46">
        <v>-68.817097075802906</v>
      </c>
      <c r="T41" s="41" t="s">
        <v>182</v>
      </c>
      <c r="U41" s="41" t="s">
        <v>183</v>
      </c>
      <c r="V41" s="38">
        <f>[1]tid.cln!T41/100</f>
        <v>1.0900000000000001</v>
      </c>
      <c r="W41" s="42" t="s">
        <v>192</v>
      </c>
      <c r="X41" s="41" t="s">
        <v>184</v>
      </c>
      <c r="Y41" s="46"/>
      <c r="Z41" s="46"/>
      <c r="AA41" s="41" t="s">
        <v>254</v>
      </c>
      <c r="AB41" s="41" t="s">
        <v>185</v>
      </c>
      <c r="AC41" s="46"/>
      <c r="AD41" s="38" t="s">
        <v>192</v>
      </c>
      <c r="AE41" s="41" t="s">
        <v>186</v>
      </c>
      <c r="AF41" s="46"/>
      <c r="AG41" s="46"/>
      <c r="AH41" s="41" t="str">
        <f t="shared" si="0"/>
        <v>Penobscot River</v>
      </c>
      <c r="AI41" s="46">
        <f t="shared" si="0"/>
        <v>44.686268165431599</v>
      </c>
      <c r="AJ41" s="46">
        <f t="shared" si="0"/>
        <v>-68.817097075802906</v>
      </c>
      <c r="AK41" s="45">
        <v>45886</v>
      </c>
      <c r="AL41" s="47"/>
      <c r="AM41" s="42"/>
      <c r="AN41" s="46"/>
      <c r="AO41" s="46"/>
      <c r="AP41" s="46"/>
      <c r="AQ41" s="46"/>
      <c r="AR41" s="41" t="str">
        <f t="shared" si="1"/>
        <v>Penobscot River</v>
      </c>
      <c r="AS41" s="46"/>
      <c r="AT41" s="46"/>
      <c r="AU41" s="46"/>
      <c r="AV41" s="41" t="s">
        <v>187</v>
      </c>
      <c r="AW41" s="46"/>
      <c r="AX41" s="41" t="s">
        <v>187</v>
      </c>
      <c r="AY41" s="41" t="s">
        <v>188</v>
      </c>
      <c r="AZ41" s="46"/>
      <c r="BA41" s="46"/>
      <c r="BB41" s="46"/>
      <c r="BC41" s="46"/>
      <c r="BD41" s="46"/>
      <c r="BE41" s="46"/>
    </row>
    <row r="42" spans="1:57" ht="34.5" thickBot="1" x14ac:dyDescent="0.3">
      <c r="A42" s="49" t="s">
        <v>243</v>
      </c>
      <c r="B42" s="39" t="s">
        <v>173</v>
      </c>
      <c r="C42" s="40" t="s">
        <v>174</v>
      </c>
      <c r="D42" s="41" t="s">
        <v>198</v>
      </c>
      <c r="E42" s="46">
        <f>_xlfn.XLOOKUP(F42, [1]Sheet2!F$2:F$51,[1]Sheet2!J$2:J$51,"")</f>
        <v>1645277</v>
      </c>
      <c r="F42" s="42">
        <v>201231</v>
      </c>
      <c r="G42" s="41" t="s">
        <v>199</v>
      </c>
      <c r="H42" s="41" t="s">
        <v>175</v>
      </c>
      <c r="I42" s="41" t="s">
        <v>176</v>
      </c>
      <c r="J42" s="43">
        <v>45886</v>
      </c>
      <c r="K42" s="46" t="s">
        <v>200</v>
      </c>
      <c r="L42" s="46" t="s">
        <v>201</v>
      </c>
      <c r="M42" s="44" t="s">
        <v>195</v>
      </c>
      <c r="N42" s="41" t="s">
        <v>202</v>
      </c>
      <c r="O42" s="38" t="s">
        <v>179</v>
      </c>
      <c r="P42" s="41" t="s">
        <v>180</v>
      </c>
      <c r="Q42" s="41" t="s">
        <v>181</v>
      </c>
      <c r="R42" s="46">
        <v>44.686268165431599</v>
      </c>
      <c r="S42" s="46">
        <v>-68.817097075802906</v>
      </c>
      <c r="T42" s="41" t="s">
        <v>182</v>
      </c>
      <c r="U42" s="41" t="s">
        <v>183</v>
      </c>
      <c r="V42" s="38">
        <f>[1]tid.cln!T42/100</f>
        <v>1.03</v>
      </c>
      <c r="W42" s="42" t="s">
        <v>192</v>
      </c>
      <c r="X42" s="41" t="s">
        <v>184</v>
      </c>
      <c r="Y42" s="46"/>
      <c r="Z42" s="46"/>
      <c r="AA42" s="41" t="s">
        <v>254</v>
      </c>
      <c r="AB42" s="41" t="s">
        <v>185</v>
      </c>
      <c r="AC42" s="46"/>
      <c r="AD42" s="38" t="s">
        <v>192</v>
      </c>
      <c r="AE42" s="41" t="s">
        <v>186</v>
      </c>
      <c r="AF42" s="46"/>
      <c r="AG42" s="46"/>
      <c r="AH42" s="41" t="str">
        <f t="shared" si="0"/>
        <v>Penobscot River</v>
      </c>
      <c r="AI42" s="46">
        <f t="shared" si="0"/>
        <v>44.686268165431599</v>
      </c>
      <c r="AJ42" s="46">
        <f t="shared" si="0"/>
        <v>-68.817097075802906</v>
      </c>
      <c r="AK42" s="45">
        <v>45886</v>
      </c>
      <c r="AL42" s="47"/>
      <c r="AM42" s="42"/>
      <c r="AN42" s="46"/>
      <c r="AO42" s="46"/>
      <c r="AP42" s="46"/>
      <c r="AQ42" s="46"/>
      <c r="AR42" s="41" t="str">
        <f t="shared" si="1"/>
        <v>Penobscot River</v>
      </c>
      <c r="AS42" s="46"/>
      <c r="AT42" s="46"/>
      <c r="AU42" s="46"/>
      <c r="AV42" s="41" t="s">
        <v>187</v>
      </c>
      <c r="AW42" s="46"/>
      <c r="AX42" s="41" t="s">
        <v>187</v>
      </c>
      <c r="AY42" s="41" t="s">
        <v>188</v>
      </c>
      <c r="AZ42" s="46"/>
      <c r="BA42" s="46"/>
      <c r="BB42" s="46"/>
      <c r="BC42" s="46"/>
      <c r="BD42" s="46"/>
      <c r="BE42" s="46"/>
    </row>
    <row r="43" spans="1:57" ht="34.5" thickBot="1" x14ac:dyDescent="0.3">
      <c r="A43" s="49" t="s">
        <v>244</v>
      </c>
      <c r="B43" s="39" t="s">
        <v>173</v>
      </c>
      <c r="C43" s="40" t="s">
        <v>174</v>
      </c>
      <c r="D43" s="41" t="s">
        <v>198</v>
      </c>
      <c r="E43" s="46">
        <f>_xlfn.XLOOKUP(F43, [1]Sheet2!F$2:F$51,[1]Sheet2!J$2:J$51,"")</f>
        <v>1645281</v>
      </c>
      <c r="F43" s="42">
        <v>201235</v>
      </c>
      <c r="G43" s="41" t="s">
        <v>199</v>
      </c>
      <c r="H43" s="41" t="s">
        <v>175</v>
      </c>
      <c r="I43" s="41" t="s">
        <v>176</v>
      </c>
      <c r="J43" s="43">
        <v>45886</v>
      </c>
      <c r="K43" s="46" t="s">
        <v>200</v>
      </c>
      <c r="L43" s="46" t="s">
        <v>201</v>
      </c>
      <c r="M43" s="44" t="s">
        <v>195</v>
      </c>
      <c r="N43" s="41" t="s">
        <v>202</v>
      </c>
      <c r="O43" s="38" t="s">
        <v>179</v>
      </c>
      <c r="P43" s="41" t="s">
        <v>180</v>
      </c>
      <c r="Q43" s="41" t="s">
        <v>181</v>
      </c>
      <c r="R43" s="46">
        <v>44.686268165431599</v>
      </c>
      <c r="S43" s="46">
        <v>-68.817097075802906</v>
      </c>
      <c r="T43" s="41" t="s">
        <v>182</v>
      </c>
      <c r="U43" s="41" t="s">
        <v>183</v>
      </c>
      <c r="V43" s="38">
        <f>[1]tid.cln!T43/100</f>
        <v>1.0900000000000001</v>
      </c>
      <c r="W43" s="42" t="s">
        <v>192</v>
      </c>
      <c r="X43" s="41" t="s">
        <v>184</v>
      </c>
      <c r="Y43" s="46"/>
      <c r="Z43" s="46"/>
      <c r="AA43" s="41" t="s">
        <v>254</v>
      </c>
      <c r="AB43" s="41" t="s">
        <v>185</v>
      </c>
      <c r="AC43" s="46"/>
      <c r="AD43" s="38" t="s">
        <v>192</v>
      </c>
      <c r="AE43" s="41" t="s">
        <v>186</v>
      </c>
      <c r="AF43" s="46"/>
      <c r="AG43" s="46"/>
      <c r="AH43" s="41" t="str">
        <f t="shared" si="0"/>
        <v>Penobscot River</v>
      </c>
      <c r="AI43" s="46">
        <f t="shared" si="0"/>
        <v>44.686268165431599</v>
      </c>
      <c r="AJ43" s="46">
        <f t="shared" si="0"/>
        <v>-68.817097075802906</v>
      </c>
      <c r="AK43" s="45">
        <v>45886</v>
      </c>
      <c r="AL43" s="47"/>
      <c r="AM43" s="42"/>
      <c r="AN43" s="46"/>
      <c r="AO43" s="46"/>
      <c r="AP43" s="46"/>
      <c r="AQ43" s="46"/>
      <c r="AR43" s="41" t="str">
        <f t="shared" si="1"/>
        <v>Penobscot River</v>
      </c>
      <c r="AS43" s="46"/>
      <c r="AT43" s="46"/>
      <c r="AU43" s="46"/>
      <c r="AV43" s="41" t="s">
        <v>187</v>
      </c>
      <c r="AW43" s="46"/>
      <c r="AX43" s="41" t="s">
        <v>187</v>
      </c>
      <c r="AY43" s="41" t="s">
        <v>188</v>
      </c>
      <c r="AZ43" s="46"/>
      <c r="BA43" s="46"/>
      <c r="BB43" s="46"/>
      <c r="BC43" s="46"/>
      <c r="BD43" s="46"/>
      <c r="BE43" s="46"/>
    </row>
    <row r="44" spans="1:57" ht="34.5" thickBot="1" x14ac:dyDescent="0.3">
      <c r="A44" s="49" t="s">
        <v>245</v>
      </c>
      <c r="B44" s="39" t="s">
        <v>173</v>
      </c>
      <c r="C44" s="40" t="s">
        <v>174</v>
      </c>
      <c r="D44" s="41" t="s">
        <v>198</v>
      </c>
      <c r="E44" s="46">
        <f>_xlfn.XLOOKUP(F44, [1]Sheet2!F$2:F$51,[1]Sheet2!J$2:J$51,"")</f>
        <v>1645284</v>
      </c>
      <c r="F44" s="42">
        <v>201238</v>
      </c>
      <c r="G44" s="41" t="s">
        <v>199</v>
      </c>
      <c r="H44" s="41" t="s">
        <v>175</v>
      </c>
      <c r="I44" s="41" t="s">
        <v>176</v>
      </c>
      <c r="J44" s="43">
        <v>45886</v>
      </c>
      <c r="K44" s="46" t="s">
        <v>200</v>
      </c>
      <c r="L44" s="46" t="s">
        <v>201</v>
      </c>
      <c r="M44" s="44" t="s">
        <v>195</v>
      </c>
      <c r="N44" s="41" t="s">
        <v>202</v>
      </c>
      <c r="O44" s="38" t="s">
        <v>179</v>
      </c>
      <c r="P44" s="41" t="s">
        <v>180</v>
      </c>
      <c r="Q44" s="41" t="s">
        <v>181</v>
      </c>
      <c r="R44" s="46">
        <v>44.686268165431599</v>
      </c>
      <c r="S44" s="46">
        <v>-68.817097075802906</v>
      </c>
      <c r="T44" s="41" t="s">
        <v>182</v>
      </c>
      <c r="U44" s="41" t="s">
        <v>183</v>
      </c>
      <c r="V44" s="38">
        <f>[1]tid.cln!T44/100</f>
        <v>1.3</v>
      </c>
      <c r="W44" s="42" t="s">
        <v>192</v>
      </c>
      <c r="X44" s="41" t="s">
        <v>184</v>
      </c>
      <c r="Y44" s="46"/>
      <c r="Z44" s="46"/>
      <c r="AA44" s="41" t="s">
        <v>254</v>
      </c>
      <c r="AB44" s="41" t="s">
        <v>185</v>
      </c>
      <c r="AC44" s="46"/>
      <c r="AD44" s="38" t="s">
        <v>192</v>
      </c>
      <c r="AE44" s="41" t="s">
        <v>186</v>
      </c>
      <c r="AF44" s="46"/>
      <c r="AG44" s="46"/>
      <c r="AH44" s="41" t="str">
        <f t="shared" si="0"/>
        <v>Penobscot River</v>
      </c>
      <c r="AI44" s="46">
        <f t="shared" si="0"/>
        <v>44.686268165431599</v>
      </c>
      <c r="AJ44" s="46">
        <f t="shared" si="0"/>
        <v>-68.817097075802906</v>
      </c>
      <c r="AK44" s="45">
        <v>45886</v>
      </c>
      <c r="AL44" s="47"/>
      <c r="AM44" s="42"/>
      <c r="AN44" s="46"/>
      <c r="AO44" s="46"/>
      <c r="AP44" s="46"/>
      <c r="AQ44" s="46"/>
      <c r="AR44" s="41" t="str">
        <f t="shared" si="1"/>
        <v>Penobscot River</v>
      </c>
      <c r="AS44" s="46"/>
      <c r="AT44" s="46"/>
      <c r="AU44" s="46"/>
      <c r="AV44" s="41" t="s">
        <v>187</v>
      </c>
      <c r="AW44" s="46"/>
      <c r="AX44" s="41" t="s">
        <v>187</v>
      </c>
      <c r="AY44" s="41" t="s">
        <v>188</v>
      </c>
      <c r="AZ44" s="46"/>
      <c r="BA44" s="46"/>
      <c r="BB44" s="46"/>
      <c r="BC44" s="46"/>
      <c r="BD44" s="46"/>
      <c r="BE44" s="46"/>
    </row>
    <row r="45" spans="1:57" ht="34.5" thickBot="1" x14ac:dyDescent="0.3">
      <c r="A45" s="49" t="s">
        <v>246</v>
      </c>
      <c r="B45" s="39" t="s">
        <v>173</v>
      </c>
      <c r="C45" s="40" t="s">
        <v>174</v>
      </c>
      <c r="D45" s="41" t="s">
        <v>198</v>
      </c>
      <c r="E45" s="46">
        <f>_xlfn.XLOOKUP(F45, [1]Sheet2!F$2:F$51,[1]Sheet2!J$2:J$51,"")</f>
        <v>1645273</v>
      </c>
      <c r="F45" s="42">
        <v>201227</v>
      </c>
      <c r="G45" s="41" t="s">
        <v>199</v>
      </c>
      <c r="H45" s="41" t="s">
        <v>175</v>
      </c>
      <c r="I45" s="41" t="s">
        <v>176</v>
      </c>
      <c r="J45" s="43">
        <v>45886</v>
      </c>
      <c r="K45" s="46" t="s">
        <v>200</v>
      </c>
      <c r="L45" s="46" t="s">
        <v>201</v>
      </c>
      <c r="M45" s="44" t="s">
        <v>195</v>
      </c>
      <c r="N45" s="41" t="s">
        <v>202</v>
      </c>
      <c r="O45" s="38" t="s">
        <v>179</v>
      </c>
      <c r="P45" s="41" t="s">
        <v>180</v>
      </c>
      <c r="Q45" s="41" t="s">
        <v>181</v>
      </c>
      <c r="R45" s="46">
        <v>44.686268165431599</v>
      </c>
      <c r="S45" s="46">
        <v>-68.817097075802906</v>
      </c>
      <c r="T45" s="41" t="s">
        <v>182</v>
      </c>
      <c r="U45" s="41" t="s">
        <v>183</v>
      </c>
      <c r="V45" s="38">
        <f>[1]tid.cln!T45/100</f>
        <v>0.96</v>
      </c>
      <c r="W45" s="42" t="s">
        <v>192</v>
      </c>
      <c r="X45" s="41" t="s">
        <v>184</v>
      </c>
      <c r="Y45" s="46"/>
      <c r="Z45" s="46"/>
      <c r="AA45" s="41" t="s">
        <v>254</v>
      </c>
      <c r="AB45" s="41" t="s">
        <v>185</v>
      </c>
      <c r="AC45" s="46"/>
      <c r="AD45" s="38" t="s">
        <v>192</v>
      </c>
      <c r="AE45" s="41" t="s">
        <v>186</v>
      </c>
      <c r="AF45" s="46"/>
      <c r="AG45" s="46"/>
      <c r="AH45" s="41" t="str">
        <f t="shared" si="0"/>
        <v>Penobscot River</v>
      </c>
      <c r="AI45" s="46">
        <f t="shared" si="0"/>
        <v>44.686268165431599</v>
      </c>
      <c r="AJ45" s="46">
        <f t="shared" si="0"/>
        <v>-68.817097075802906</v>
      </c>
      <c r="AK45" s="45">
        <v>45886</v>
      </c>
      <c r="AL45" s="47"/>
      <c r="AM45" s="42"/>
      <c r="AN45" s="46"/>
      <c r="AO45" s="46"/>
      <c r="AP45" s="46"/>
      <c r="AQ45" s="46"/>
      <c r="AR45" s="41" t="str">
        <f t="shared" si="1"/>
        <v>Penobscot River</v>
      </c>
      <c r="AS45" s="46"/>
      <c r="AT45" s="46"/>
      <c r="AU45" s="46"/>
      <c r="AV45" s="41" t="s">
        <v>187</v>
      </c>
      <c r="AW45" s="46"/>
      <c r="AX45" s="41" t="s">
        <v>187</v>
      </c>
      <c r="AY45" s="41" t="s">
        <v>188</v>
      </c>
      <c r="AZ45" s="46"/>
      <c r="BA45" s="46"/>
      <c r="BB45" s="46"/>
      <c r="BC45" s="46"/>
      <c r="BD45" s="46"/>
      <c r="BE45" s="46"/>
    </row>
    <row r="46" spans="1:57" ht="34.5" thickBot="1" x14ac:dyDescent="0.3">
      <c r="A46" s="49" t="s">
        <v>247</v>
      </c>
      <c r="B46" s="39" t="s">
        <v>173</v>
      </c>
      <c r="C46" s="40" t="s">
        <v>174</v>
      </c>
      <c r="D46" s="41" t="s">
        <v>198</v>
      </c>
      <c r="E46" s="46">
        <f>_xlfn.XLOOKUP(F46, [1]Sheet2!F$2:F$51,[1]Sheet2!J$2:J$51,"")</f>
        <v>1645297</v>
      </c>
      <c r="F46" s="42">
        <v>201251</v>
      </c>
      <c r="G46" s="41" t="s">
        <v>199</v>
      </c>
      <c r="H46" s="41" t="s">
        <v>175</v>
      </c>
      <c r="I46" s="41" t="s">
        <v>176</v>
      </c>
      <c r="J46" s="43">
        <v>45886</v>
      </c>
      <c r="K46" s="46" t="s">
        <v>200</v>
      </c>
      <c r="L46" s="46" t="s">
        <v>201</v>
      </c>
      <c r="M46" s="44" t="s">
        <v>195</v>
      </c>
      <c r="N46" s="41" t="s">
        <v>202</v>
      </c>
      <c r="O46" s="38" t="s">
        <v>179</v>
      </c>
      <c r="P46" s="41" t="s">
        <v>180</v>
      </c>
      <c r="Q46" s="41" t="s">
        <v>181</v>
      </c>
      <c r="R46" s="46">
        <v>44.686268165431599</v>
      </c>
      <c r="S46" s="46">
        <v>-68.817097075802906</v>
      </c>
      <c r="T46" s="41" t="s">
        <v>182</v>
      </c>
      <c r="U46" s="41" t="s">
        <v>183</v>
      </c>
      <c r="V46" s="38">
        <f>[1]tid.cln!T46/100</f>
        <v>0.85</v>
      </c>
      <c r="W46" s="42" t="s">
        <v>192</v>
      </c>
      <c r="X46" s="41" t="s">
        <v>184</v>
      </c>
      <c r="Y46" s="46"/>
      <c r="Z46" s="46"/>
      <c r="AA46" s="41" t="s">
        <v>254</v>
      </c>
      <c r="AB46" s="41" t="s">
        <v>185</v>
      </c>
      <c r="AC46" s="46"/>
      <c r="AD46" s="38" t="s">
        <v>192</v>
      </c>
      <c r="AE46" s="41" t="s">
        <v>186</v>
      </c>
      <c r="AF46" s="46"/>
      <c r="AG46" s="46"/>
      <c r="AH46" s="41" t="str">
        <f t="shared" si="0"/>
        <v>Penobscot River</v>
      </c>
      <c r="AI46" s="46">
        <f t="shared" si="0"/>
        <v>44.686268165431599</v>
      </c>
      <c r="AJ46" s="46">
        <f t="shared" si="0"/>
        <v>-68.817097075802906</v>
      </c>
      <c r="AK46" s="45">
        <v>45886</v>
      </c>
      <c r="AL46" s="47"/>
      <c r="AM46" s="42"/>
      <c r="AN46" s="46"/>
      <c r="AO46" s="46"/>
      <c r="AP46" s="46"/>
      <c r="AQ46" s="46"/>
      <c r="AR46" s="41" t="str">
        <f t="shared" si="1"/>
        <v>Penobscot River</v>
      </c>
      <c r="AS46" s="46"/>
      <c r="AT46" s="46"/>
      <c r="AU46" s="46"/>
      <c r="AV46" s="41" t="s">
        <v>187</v>
      </c>
      <c r="AW46" s="46"/>
      <c r="AX46" s="41" t="s">
        <v>187</v>
      </c>
      <c r="AY46" s="41" t="s">
        <v>188</v>
      </c>
      <c r="AZ46" s="46"/>
      <c r="BA46" s="46"/>
      <c r="BB46" s="46"/>
      <c r="BC46" s="46"/>
      <c r="BD46" s="46"/>
      <c r="BE46" s="46"/>
    </row>
    <row r="47" spans="1:57" ht="34.5" thickBot="1" x14ac:dyDescent="0.3">
      <c r="A47" s="49" t="s">
        <v>248</v>
      </c>
      <c r="B47" s="39" t="s">
        <v>173</v>
      </c>
      <c r="C47" s="40" t="s">
        <v>174</v>
      </c>
      <c r="D47" s="41" t="s">
        <v>198</v>
      </c>
      <c r="E47" s="46">
        <f>_xlfn.XLOOKUP(F47, [1]Sheet2!F$2:F$51,[1]Sheet2!J$2:J$51,"")</f>
        <v>1645298</v>
      </c>
      <c r="F47" s="42">
        <v>201252</v>
      </c>
      <c r="G47" s="41" t="s">
        <v>199</v>
      </c>
      <c r="H47" s="41" t="s">
        <v>175</v>
      </c>
      <c r="I47" s="41" t="s">
        <v>176</v>
      </c>
      <c r="J47" s="43">
        <v>45886</v>
      </c>
      <c r="K47" s="46" t="s">
        <v>200</v>
      </c>
      <c r="L47" s="46" t="s">
        <v>201</v>
      </c>
      <c r="M47" s="44" t="s">
        <v>195</v>
      </c>
      <c r="N47" s="41" t="s">
        <v>202</v>
      </c>
      <c r="O47" s="38" t="s">
        <v>179</v>
      </c>
      <c r="P47" s="41" t="s">
        <v>180</v>
      </c>
      <c r="Q47" s="41" t="s">
        <v>181</v>
      </c>
      <c r="R47" s="46">
        <v>44.686268165431599</v>
      </c>
      <c r="S47" s="46">
        <v>-68.817097075802906</v>
      </c>
      <c r="T47" s="41" t="s">
        <v>182</v>
      </c>
      <c r="U47" s="41" t="s">
        <v>183</v>
      </c>
      <c r="V47" s="38">
        <f>[1]tid.cln!T47/100</f>
        <v>0.94</v>
      </c>
      <c r="W47" s="42" t="s">
        <v>192</v>
      </c>
      <c r="X47" s="41" t="s">
        <v>184</v>
      </c>
      <c r="Y47" s="46"/>
      <c r="Z47" s="46"/>
      <c r="AA47" s="41" t="s">
        <v>254</v>
      </c>
      <c r="AB47" s="41" t="s">
        <v>185</v>
      </c>
      <c r="AC47" s="46"/>
      <c r="AD47" s="38" t="s">
        <v>192</v>
      </c>
      <c r="AE47" s="41" t="s">
        <v>186</v>
      </c>
      <c r="AF47" s="46"/>
      <c r="AG47" s="46"/>
      <c r="AH47" s="41" t="str">
        <f t="shared" si="0"/>
        <v>Penobscot River</v>
      </c>
      <c r="AI47" s="46">
        <f t="shared" si="0"/>
        <v>44.686268165431599</v>
      </c>
      <c r="AJ47" s="46">
        <f t="shared" si="0"/>
        <v>-68.817097075802906</v>
      </c>
      <c r="AK47" s="45">
        <v>45886</v>
      </c>
      <c r="AL47" s="47"/>
      <c r="AM47" s="42"/>
      <c r="AN47" s="46"/>
      <c r="AO47" s="46"/>
      <c r="AP47" s="46"/>
      <c r="AQ47" s="46"/>
      <c r="AR47" s="41" t="str">
        <f t="shared" si="1"/>
        <v>Penobscot River</v>
      </c>
      <c r="AS47" s="46"/>
      <c r="AT47" s="46"/>
      <c r="AU47" s="46"/>
      <c r="AV47" s="41" t="s">
        <v>187</v>
      </c>
      <c r="AW47" s="46"/>
      <c r="AX47" s="41" t="s">
        <v>187</v>
      </c>
      <c r="AY47" s="41" t="s">
        <v>188</v>
      </c>
      <c r="AZ47" s="46"/>
      <c r="BA47" s="46"/>
      <c r="BB47" s="46"/>
      <c r="BC47" s="46"/>
      <c r="BD47" s="46"/>
      <c r="BE47" s="46"/>
    </row>
    <row r="48" spans="1:57" ht="34.5" thickBot="1" x14ac:dyDescent="0.3">
      <c r="A48" s="49" t="s">
        <v>249</v>
      </c>
      <c r="B48" s="39" t="s">
        <v>173</v>
      </c>
      <c r="C48" s="40" t="s">
        <v>174</v>
      </c>
      <c r="D48" s="41" t="s">
        <v>198</v>
      </c>
      <c r="E48" s="46">
        <f>_xlfn.XLOOKUP(F48, [1]Sheet2!F$2:F$51,[1]Sheet2!J$2:J$51,"")</f>
        <v>1645283</v>
      </c>
      <c r="F48" s="42">
        <v>201237</v>
      </c>
      <c r="G48" s="41" t="s">
        <v>199</v>
      </c>
      <c r="H48" s="41" t="s">
        <v>175</v>
      </c>
      <c r="I48" s="41" t="s">
        <v>176</v>
      </c>
      <c r="J48" s="43">
        <v>45887</v>
      </c>
      <c r="K48" s="46" t="s">
        <v>200</v>
      </c>
      <c r="L48" s="46" t="s">
        <v>201</v>
      </c>
      <c r="M48" s="44" t="s">
        <v>195</v>
      </c>
      <c r="N48" s="41" t="s">
        <v>202</v>
      </c>
      <c r="O48" s="38" t="s">
        <v>179</v>
      </c>
      <c r="P48" s="41" t="s">
        <v>180</v>
      </c>
      <c r="Q48" s="41" t="s">
        <v>181</v>
      </c>
      <c r="R48" s="46">
        <v>44.686268165431599</v>
      </c>
      <c r="S48" s="46">
        <v>-68.817097075802906</v>
      </c>
      <c r="T48" s="41" t="s">
        <v>182</v>
      </c>
      <c r="U48" s="41" t="s">
        <v>183</v>
      </c>
      <c r="V48" s="38">
        <f>[1]tid.cln!T48/100</f>
        <v>1.1499999999999999</v>
      </c>
      <c r="W48" s="42" t="s">
        <v>192</v>
      </c>
      <c r="X48" s="41" t="s">
        <v>184</v>
      </c>
      <c r="Y48" s="46"/>
      <c r="Z48" s="46"/>
      <c r="AA48" s="41" t="s">
        <v>254</v>
      </c>
      <c r="AB48" s="41" t="s">
        <v>185</v>
      </c>
      <c r="AC48" s="46"/>
      <c r="AD48" s="38" t="s">
        <v>192</v>
      </c>
      <c r="AE48" s="41" t="s">
        <v>186</v>
      </c>
      <c r="AF48" s="46"/>
      <c r="AG48" s="46"/>
      <c r="AH48" s="41" t="str">
        <f t="shared" si="0"/>
        <v>Penobscot River</v>
      </c>
      <c r="AI48" s="46">
        <f t="shared" si="0"/>
        <v>44.686268165431599</v>
      </c>
      <c r="AJ48" s="46">
        <f t="shared" si="0"/>
        <v>-68.817097075802906</v>
      </c>
      <c r="AK48" s="45">
        <v>45887</v>
      </c>
      <c r="AL48" s="47"/>
      <c r="AM48" s="42"/>
      <c r="AN48" s="46"/>
      <c r="AO48" s="46"/>
      <c r="AP48" s="46"/>
      <c r="AQ48" s="46"/>
      <c r="AR48" s="41" t="str">
        <f t="shared" si="1"/>
        <v>Penobscot River</v>
      </c>
      <c r="AS48" s="46"/>
      <c r="AT48" s="46"/>
      <c r="AU48" s="46"/>
      <c r="AV48" s="41" t="s">
        <v>187</v>
      </c>
      <c r="AW48" s="46"/>
      <c r="AX48" s="41" t="s">
        <v>187</v>
      </c>
      <c r="AY48" s="41" t="s">
        <v>188</v>
      </c>
      <c r="AZ48" s="46"/>
      <c r="BA48" s="46"/>
      <c r="BB48" s="46"/>
      <c r="BC48" s="46"/>
      <c r="BD48" s="46"/>
      <c r="BE48" s="46"/>
    </row>
    <row r="49" spans="1:57" ht="34.5" thickBot="1" x14ac:dyDescent="0.3">
      <c r="A49" s="49" t="s">
        <v>250</v>
      </c>
      <c r="B49" s="39" t="s">
        <v>173</v>
      </c>
      <c r="C49" s="40" t="s">
        <v>174</v>
      </c>
      <c r="D49" s="41" t="s">
        <v>198</v>
      </c>
      <c r="E49" s="46">
        <f>_xlfn.XLOOKUP(F49, [1]Sheet2!F$2:F$51,[1]Sheet2!J$2:J$51,"")</f>
        <v>1645294</v>
      </c>
      <c r="F49" s="42">
        <v>201248</v>
      </c>
      <c r="G49" s="41" t="s">
        <v>199</v>
      </c>
      <c r="H49" s="41" t="s">
        <v>175</v>
      </c>
      <c r="I49" s="41" t="s">
        <v>176</v>
      </c>
      <c r="J49" s="43">
        <v>45887</v>
      </c>
      <c r="K49" s="46" t="s">
        <v>200</v>
      </c>
      <c r="L49" s="46" t="s">
        <v>201</v>
      </c>
      <c r="M49" s="44" t="s">
        <v>195</v>
      </c>
      <c r="N49" s="41" t="s">
        <v>202</v>
      </c>
      <c r="O49" s="38" t="s">
        <v>179</v>
      </c>
      <c r="P49" s="41" t="s">
        <v>180</v>
      </c>
      <c r="Q49" s="41" t="s">
        <v>181</v>
      </c>
      <c r="R49" s="46">
        <v>44.686268165431599</v>
      </c>
      <c r="S49" s="46">
        <v>-68.817097075802906</v>
      </c>
      <c r="T49" s="41" t="s">
        <v>182</v>
      </c>
      <c r="U49" s="41" t="s">
        <v>183</v>
      </c>
      <c r="V49" s="38">
        <f>[1]tid.cln!T49/100</f>
        <v>1.02</v>
      </c>
      <c r="W49" s="42" t="s">
        <v>192</v>
      </c>
      <c r="X49" s="41" t="s">
        <v>184</v>
      </c>
      <c r="Y49" s="46"/>
      <c r="Z49" s="46"/>
      <c r="AA49" s="41" t="s">
        <v>254</v>
      </c>
      <c r="AB49" s="41" t="s">
        <v>185</v>
      </c>
      <c r="AC49" s="46"/>
      <c r="AD49" s="38" t="s">
        <v>192</v>
      </c>
      <c r="AE49" s="41" t="s">
        <v>186</v>
      </c>
      <c r="AF49" s="46"/>
      <c r="AG49" s="46"/>
      <c r="AH49" s="41" t="str">
        <f t="shared" si="0"/>
        <v>Penobscot River</v>
      </c>
      <c r="AI49" s="46">
        <f t="shared" si="0"/>
        <v>44.686268165431599</v>
      </c>
      <c r="AJ49" s="46">
        <f t="shared" si="0"/>
        <v>-68.817097075802906</v>
      </c>
      <c r="AK49" s="45">
        <v>45887</v>
      </c>
      <c r="AL49" s="47"/>
      <c r="AM49" s="42"/>
      <c r="AN49" s="46"/>
      <c r="AO49" s="46"/>
      <c r="AP49" s="46"/>
      <c r="AQ49" s="46"/>
      <c r="AR49" s="41" t="str">
        <f t="shared" si="1"/>
        <v>Penobscot River</v>
      </c>
      <c r="AS49" s="46"/>
      <c r="AT49" s="46"/>
      <c r="AU49" s="46"/>
      <c r="AV49" s="41" t="s">
        <v>187</v>
      </c>
      <c r="AW49" s="46"/>
      <c r="AX49" s="41" t="s">
        <v>187</v>
      </c>
      <c r="AY49" s="41" t="s">
        <v>188</v>
      </c>
      <c r="AZ49" s="46"/>
      <c r="BA49" s="46"/>
      <c r="BB49" s="46"/>
      <c r="BC49" s="46"/>
      <c r="BD49" s="46"/>
      <c r="BE49" s="46"/>
    </row>
    <row r="50" spans="1:57" ht="34.5" thickBot="1" x14ac:dyDescent="0.3">
      <c r="A50" s="49" t="s">
        <v>251</v>
      </c>
      <c r="B50" s="39" t="s">
        <v>173</v>
      </c>
      <c r="C50" s="40" t="s">
        <v>174</v>
      </c>
      <c r="D50" s="41" t="s">
        <v>198</v>
      </c>
      <c r="E50" s="46">
        <f>_xlfn.XLOOKUP(F50, [1]Sheet2!F$2:F$51,[1]Sheet2!J$2:J$51,"")</f>
        <v>1645295</v>
      </c>
      <c r="F50" s="42">
        <v>201249</v>
      </c>
      <c r="G50" s="41" t="s">
        <v>199</v>
      </c>
      <c r="H50" s="41" t="s">
        <v>175</v>
      </c>
      <c r="I50" s="41" t="s">
        <v>176</v>
      </c>
      <c r="J50" s="43">
        <v>45887</v>
      </c>
      <c r="K50" s="46" t="s">
        <v>200</v>
      </c>
      <c r="L50" s="46" t="s">
        <v>201</v>
      </c>
      <c r="M50" s="44" t="s">
        <v>195</v>
      </c>
      <c r="N50" s="41" t="s">
        <v>202</v>
      </c>
      <c r="O50" s="38" t="s">
        <v>193</v>
      </c>
      <c r="P50" s="41" t="s">
        <v>194</v>
      </c>
      <c r="Q50" s="41" t="s">
        <v>181</v>
      </c>
      <c r="R50" s="46">
        <v>44.686268165431599</v>
      </c>
      <c r="S50" s="46">
        <v>-68.817097075802906</v>
      </c>
      <c r="T50" s="41" t="s">
        <v>182</v>
      </c>
      <c r="U50" s="41" t="s">
        <v>183</v>
      </c>
      <c r="V50" s="38">
        <f>[1]tid.cln!T50/100</f>
        <v>1.76</v>
      </c>
      <c r="W50" s="42" t="s">
        <v>192</v>
      </c>
      <c r="X50" s="41" t="s">
        <v>184</v>
      </c>
      <c r="Y50" s="46"/>
      <c r="Z50" s="46"/>
      <c r="AA50" s="41" t="s">
        <v>254</v>
      </c>
      <c r="AB50" s="41" t="s">
        <v>185</v>
      </c>
      <c r="AC50" s="46"/>
      <c r="AD50" s="38" t="s">
        <v>192</v>
      </c>
      <c r="AE50" s="41" t="s">
        <v>186</v>
      </c>
      <c r="AF50" s="46"/>
      <c r="AG50" s="46"/>
      <c r="AH50" s="41" t="str">
        <f t="shared" si="0"/>
        <v>Penobscot River</v>
      </c>
      <c r="AI50" s="46">
        <f t="shared" si="0"/>
        <v>44.686268165431599</v>
      </c>
      <c r="AJ50" s="46">
        <f t="shared" si="0"/>
        <v>-68.817097075802906</v>
      </c>
      <c r="AK50" s="45">
        <v>45887</v>
      </c>
      <c r="AL50" s="47"/>
      <c r="AM50" s="42"/>
      <c r="AN50" s="46"/>
      <c r="AO50" s="46"/>
      <c r="AP50" s="46"/>
      <c r="AQ50" s="46"/>
      <c r="AR50" s="41" t="str">
        <f t="shared" si="1"/>
        <v>Penobscot River</v>
      </c>
      <c r="AS50" s="46"/>
      <c r="AT50" s="46"/>
      <c r="AU50" s="46"/>
      <c r="AV50" s="41" t="s">
        <v>187</v>
      </c>
      <c r="AW50" s="46"/>
      <c r="AX50" s="41" t="s">
        <v>187</v>
      </c>
      <c r="AY50" s="41" t="s">
        <v>188</v>
      </c>
      <c r="AZ50" s="46"/>
      <c r="BA50" s="46"/>
      <c r="BB50" s="46"/>
      <c r="BC50" s="46"/>
      <c r="BD50" s="46"/>
      <c r="BE50" s="46"/>
    </row>
    <row r="51" spans="1:57" ht="34.5" thickBot="1" x14ac:dyDescent="0.3">
      <c r="A51" s="49" t="s">
        <v>252</v>
      </c>
      <c r="B51" s="39" t="s">
        <v>173</v>
      </c>
      <c r="C51" s="40" t="s">
        <v>174</v>
      </c>
      <c r="D51" s="41" t="s">
        <v>198</v>
      </c>
      <c r="E51" s="46">
        <f>_xlfn.XLOOKUP(F51, [1]Sheet2!F$2:F$51,[1]Sheet2!J$2:J$51,"")</f>
        <v>1645296</v>
      </c>
      <c r="F51" s="42">
        <v>201250</v>
      </c>
      <c r="G51" s="41" t="s">
        <v>199</v>
      </c>
      <c r="H51" s="41" t="s">
        <v>175</v>
      </c>
      <c r="I51" s="41" t="s">
        <v>176</v>
      </c>
      <c r="J51" s="43">
        <v>45887</v>
      </c>
      <c r="K51" s="46" t="s">
        <v>200</v>
      </c>
      <c r="L51" s="46" t="s">
        <v>201</v>
      </c>
      <c r="M51" s="44" t="s">
        <v>195</v>
      </c>
      <c r="N51" s="41" t="s">
        <v>202</v>
      </c>
      <c r="O51" s="38" t="s">
        <v>193</v>
      </c>
      <c r="P51" s="41" t="s">
        <v>194</v>
      </c>
      <c r="Q51" s="41" t="s">
        <v>181</v>
      </c>
      <c r="R51" s="46">
        <v>44.686268165431599</v>
      </c>
      <c r="S51" s="46">
        <v>-68.817097075802906</v>
      </c>
      <c r="T51" s="41" t="s">
        <v>182</v>
      </c>
      <c r="U51" s="41" t="s">
        <v>183</v>
      </c>
      <c r="V51" s="38">
        <f>[1]tid.cln!T51/100</f>
        <v>1.2</v>
      </c>
      <c r="W51" s="42" t="s">
        <v>192</v>
      </c>
      <c r="X51" s="41" t="s">
        <v>184</v>
      </c>
      <c r="Y51" s="46"/>
      <c r="Z51" s="46"/>
      <c r="AA51" s="41" t="s">
        <v>254</v>
      </c>
      <c r="AB51" s="41" t="s">
        <v>185</v>
      </c>
      <c r="AC51" s="46"/>
      <c r="AD51" s="38" t="s">
        <v>192</v>
      </c>
      <c r="AE51" s="41" t="s">
        <v>186</v>
      </c>
      <c r="AF51" s="46"/>
      <c r="AG51" s="46"/>
      <c r="AH51" s="41" t="str">
        <f t="shared" si="0"/>
        <v>Penobscot River</v>
      </c>
      <c r="AI51" s="46">
        <f t="shared" si="0"/>
        <v>44.686268165431599</v>
      </c>
      <c r="AJ51" s="46">
        <f t="shared" si="0"/>
        <v>-68.817097075802906</v>
      </c>
      <c r="AK51" s="45">
        <v>45887</v>
      </c>
      <c r="AL51" s="47"/>
      <c r="AM51" s="42"/>
      <c r="AN51" s="46"/>
      <c r="AO51" s="46"/>
      <c r="AP51" s="46"/>
      <c r="AQ51" s="46"/>
      <c r="AR51" s="41" t="str">
        <f t="shared" si="1"/>
        <v>Penobscot River</v>
      </c>
      <c r="AS51" s="46"/>
      <c r="AT51" s="46"/>
      <c r="AU51" s="46"/>
      <c r="AV51" s="41" t="s">
        <v>187</v>
      </c>
      <c r="AW51" s="46"/>
      <c r="AX51" s="41" t="s">
        <v>187</v>
      </c>
      <c r="AY51" s="41" t="s">
        <v>188</v>
      </c>
      <c r="AZ51" s="46"/>
      <c r="BA51" s="46"/>
      <c r="BB51" s="46"/>
      <c r="BC51" s="46"/>
      <c r="BD51" s="46"/>
      <c r="BE51" s="46"/>
    </row>
    <row r="52" spans="1:57" ht="34.5" thickBot="1" x14ac:dyDescent="0.3">
      <c r="A52" s="49" t="s">
        <v>253</v>
      </c>
      <c r="B52" s="39" t="s">
        <v>173</v>
      </c>
      <c r="C52" s="40" t="s">
        <v>174</v>
      </c>
      <c r="D52" s="41" t="s">
        <v>198</v>
      </c>
      <c r="E52" s="46">
        <f>_xlfn.XLOOKUP(F52, [1]Sheet2!F$2:F$51,[1]Sheet2!J$2:J$51,"")</f>
        <v>1645299</v>
      </c>
      <c r="F52" s="42">
        <v>201253</v>
      </c>
      <c r="G52" s="41" t="s">
        <v>199</v>
      </c>
      <c r="H52" s="41" t="s">
        <v>175</v>
      </c>
      <c r="I52" s="41" t="s">
        <v>176</v>
      </c>
      <c r="J52" s="43">
        <v>45887</v>
      </c>
      <c r="K52" s="46" t="s">
        <v>200</v>
      </c>
      <c r="L52" s="46" t="s">
        <v>201</v>
      </c>
      <c r="M52" s="44" t="s">
        <v>195</v>
      </c>
      <c r="N52" s="41" t="s">
        <v>202</v>
      </c>
      <c r="O52" s="38" t="s">
        <v>193</v>
      </c>
      <c r="P52" s="41" t="s">
        <v>194</v>
      </c>
      <c r="Q52" s="41" t="s">
        <v>181</v>
      </c>
      <c r="R52" s="46">
        <v>44.686268165431599</v>
      </c>
      <c r="S52" s="46">
        <v>-68.817097075802906</v>
      </c>
      <c r="T52" s="41" t="s">
        <v>182</v>
      </c>
      <c r="U52" s="41" t="s">
        <v>183</v>
      </c>
      <c r="V52" s="38">
        <f>[1]tid.cln!T52/100</f>
        <v>1.0900000000000001</v>
      </c>
      <c r="W52" s="42" t="s">
        <v>192</v>
      </c>
      <c r="X52" s="41" t="s">
        <v>184</v>
      </c>
      <c r="Y52" s="46"/>
      <c r="Z52" s="46"/>
      <c r="AA52" s="41" t="s">
        <v>254</v>
      </c>
      <c r="AB52" s="41" t="s">
        <v>185</v>
      </c>
      <c r="AC52" s="46"/>
      <c r="AD52" s="38" t="s">
        <v>192</v>
      </c>
      <c r="AE52" s="41" t="s">
        <v>186</v>
      </c>
      <c r="AF52" s="46"/>
      <c r="AG52" s="46"/>
      <c r="AH52" s="41" t="str">
        <f t="shared" si="0"/>
        <v>Penobscot River</v>
      </c>
      <c r="AI52" s="46">
        <f t="shared" si="0"/>
        <v>44.686268165431599</v>
      </c>
      <c r="AJ52" s="46">
        <f t="shared" si="0"/>
        <v>-68.817097075802906</v>
      </c>
      <c r="AK52" s="45">
        <v>45887</v>
      </c>
      <c r="AL52" s="47"/>
      <c r="AM52" s="42"/>
      <c r="AN52" s="46"/>
      <c r="AO52" s="46"/>
      <c r="AP52" s="46"/>
      <c r="AQ52" s="46"/>
      <c r="AR52" s="41" t="str">
        <f t="shared" si="1"/>
        <v>Penobscot River</v>
      </c>
      <c r="AS52" s="46"/>
      <c r="AT52" s="46"/>
      <c r="AU52" s="46"/>
      <c r="AV52" s="41" t="s">
        <v>187</v>
      </c>
      <c r="AW52" s="46"/>
      <c r="AX52" s="41" t="s">
        <v>187</v>
      </c>
      <c r="AY52" s="41" t="s">
        <v>188</v>
      </c>
      <c r="AZ52" s="46"/>
      <c r="BA52" s="46"/>
      <c r="BB52" s="46"/>
      <c r="BC52" s="46"/>
      <c r="BD52" s="46"/>
      <c r="BE52" s="46"/>
    </row>
    <row r="53" spans="1:57" x14ac:dyDescent="0.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c r="AB53" s="46"/>
      <c r="AC53" s="46"/>
      <c r="AD53" s="46"/>
      <c r="AE53" s="46"/>
      <c r="AF53" s="46"/>
      <c r="AG53" s="46"/>
      <c r="AH53" s="46"/>
      <c r="AI53" s="46"/>
      <c r="AJ53" s="46"/>
      <c r="AK53" s="50"/>
      <c r="AL53" s="47"/>
      <c r="AM53" s="46"/>
      <c r="AN53" s="46"/>
      <c r="AO53" s="46"/>
      <c r="AP53" s="46"/>
      <c r="AQ53" s="46"/>
      <c r="AR53" s="46"/>
      <c r="AS53" s="46"/>
      <c r="AT53" s="46"/>
      <c r="AU53" s="46"/>
      <c r="AV53" s="46"/>
      <c r="AW53" s="46"/>
      <c r="AX53" s="46"/>
      <c r="AY53" s="46"/>
      <c r="AZ53" s="46"/>
      <c r="BA53" s="46"/>
      <c r="BB53" s="46"/>
      <c r="BC53" s="46"/>
      <c r="BD53" s="46"/>
      <c r="BE53" s="46"/>
    </row>
    <row r="54" spans="1:57" x14ac:dyDescent="0.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c r="AA54" s="46"/>
      <c r="AB54" s="46"/>
      <c r="AC54" s="46"/>
      <c r="AD54" s="46"/>
      <c r="AE54" s="46"/>
      <c r="AF54" s="46"/>
      <c r="AG54" s="46"/>
      <c r="AH54" s="46"/>
      <c r="AI54" s="46"/>
      <c r="AJ54" s="46"/>
      <c r="AK54" s="50"/>
      <c r="AL54" s="47"/>
      <c r="AM54" s="46"/>
      <c r="AN54" s="46"/>
      <c r="AO54" s="46"/>
      <c r="AP54" s="46"/>
      <c r="AQ54" s="46"/>
      <c r="AR54" s="46"/>
      <c r="AS54" s="46"/>
      <c r="AT54" s="46"/>
      <c r="AU54" s="46"/>
      <c r="AV54" s="46"/>
      <c r="AW54" s="46"/>
      <c r="AX54" s="46"/>
      <c r="AY54" s="46"/>
      <c r="AZ54" s="46"/>
      <c r="BA54" s="46"/>
      <c r="BB54" s="46"/>
      <c r="BC54" s="46"/>
      <c r="BD54" s="46"/>
      <c r="BE54" s="46"/>
    </row>
    <row r="55" spans="1:57" x14ac:dyDescent="0.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50"/>
      <c r="AL55" s="47"/>
      <c r="AM55" s="46"/>
      <c r="AN55" s="46"/>
      <c r="AO55" s="46"/>
      <c r="AP55" s="46"/>
      <c r="AQ55" s="46"/>
      <c r="AR55" s="46"/>
      <c r="AS55" s="46"/>
      <c r="AT55" s="46"/>
      <c r="AU55" s="46"/>
      <c r="AV55" s="46"/>
      <c r="AW55" s="46"/>
      <c r="AX55" s="46"/>
      <c r="AY55" s="46"/>
      <c r="AZ55" s="46"/>
      <c r="BA55" s="46"/>
      <c r="BB55" s="46"/>
      <c r="BC55" s="46"/>
      <c r="BD55" s="46"/>
      <c r="BE55" s="46"/>
    </row>
    <row r="56" spans="1:57" x14ac:dyDescent="0.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46"/>
      <c r="AC56" s="46"/>
      <c r="AD56" s="46"/>
      <c r="AE56" s="46"/>
      <c r="AF56" s="46"/>
      <c r="AG56" s="46"/>
      <c r="AH56" s="46"/>
      <c r="AI56" s="46"/>
      <c r="AJ56" s="46"/>
      <c r="AK56" s="50"/>
      <c r="AL56" s="47"/>
      <c r="AM56" s="46"/>
      <c r="AN56" s="46"/>
      <c r="AO56" s="46"/>
      <c r="AP56" s="46"/>
      <c r="AQ56" s="46"/>
      <c r="AR56" s="46"/>
      <c r="AS56" s="46"/>
      <c r="AT56" s="46"/>
      <c r="AU56" s="46"/>
      <c r="AV56" s="46"/>
      <c r="AW56" s="46"/>
      <c r="AX56" s="46"/>
      <c r="AY56" s="46"/>
      <c r="AZ56" s="46"/>
      <c r="BA56" s="46"/>
      <c r="BB56" s="46"/>
      <c r="BC56" s="46"/>
      <c r="BD56" s="46"/>
      <c r="BE56" s="46"/>
    </row>
    <row r="57" spans="1:57" x14ac:dyDescent="0.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50"/>
      <c r="AL57" s="47"/>
      <c r="AM57" s="46"/>
      <c r="AN57" s="46"/>
      <c r="AO57" s="46"/>
      <c r="AP57" s="46"/>
      <c r="AQ57" s="46"/>
      <c r="AR57" s="46"/>
      <c r="AS57" s="46"/>
      <c r="AT57" s="46"/>
      <c r="AU57" s="46"/>
      <c r="AV57" s="46"/>
      <c r="AW57" s="46"/>
      <c r="AX57" s="46"/>
      <c r="AY57" s="46"/>
      <c r="AZ57" s="46"/>
      <c r="BA57" s="46"/>
      <c r="BB57" s="46"/>
      <c r="BC57" s="46"/>
      <c r="BD57" s="46"/>
      <c r="BE57" s="46"/>
    </row>
    <row r="58" spans="1:57" x14ac:dyDescent="0.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50"/>
      <c r="AL58" s="47"/>
      <c r="AM58" s="46"/>
      <c r="AN58" s="46"/>
      <c r="AO58" s="46"/>
      <c r="AP58" s="46"/>
      <c r="AQ58" s="46"/>
      <c r="AR58" s="46"/>
      <c r="AS58" s="46"/>
      <c r="AT58" s="46"/>
      <c r="AU58" s="46"/>
      <c r="AV58" s="46"/>
      <c r="AW58" s="46"/>
      <c r="AX58" s="46"/>
      <c r="AY58" s="46"/>
      <c r="AZ58" s="46"/>
      <c r="BA58" s="46"/>
      <c r="BB58" s="46"/>
      <c r="BC58" s="46"/>
      <c r="BD58" s="46"/>
      <c r="BE58" s="46"/>
    </row>
    <row r="59" spans="1:57" x14ac:dyDescent="0.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50"/>
      <c r="AL59" s="47"/>
      <c r="AM59" s="46"/>
      <c r="AN59" s="46"/>
      <c r="AO59" s="46"/>
      <c r="AP59" s="46"/>
      <c r="AQ59" s="46"/>
      <c r="AR59" s="46"/>
      <c r="AS59" s="46"/>
      <c r="AT59" s="46"/>
      <c r="AU59" s="46"/>
      <c r="AV59" s="46"/>
      <c r="AW59" s="46"/>
      <c r="AX59" s="46"/>
      <c r="AY59" s="46"/>
      <c r="AZ59" s="46"/>
      <c r="BA59" s="46"/>
      <c r="BB59" s="46"/>
      <c r="BC59" s="46"/>
      <c r="BD59" s="46"/>
      <c r="BE59" s="46"/>
    </row>
    <row r="60" spans="1:57" x14ac:dyDescent="0.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50"/>
      <c r="AL60" s="47"/>
      <c r="AM60" s="46"/>
      <c r="AN60" s="46"/>
      <c r="AO60" s="46"/>
      <c r="AP60" s="46"/>
      <c r="AQ60" s="46"/>
      <c r="AR60" s="46"/>
      <c r="AS60" s="46"/>
      <c r="AT60" s="46"/>
      <c r="AU60" s="46"/>
      <c r="AV60" s="46"/>
      <c r="AW60" s="46"/>
      <c r="AX60" s="46"/>
      <c r="AY60" s="46"/>
      <c r="AZ60" s="46"/>
      <c r="BA60" s="46"/>
      <c r="BB60" s="46"/>
      <c r="BC60" s="46"/>
      <c r="BD60" s="46"/>
      <c r="BE60" s="46"/>
    </row>
    <row r="61" spans="1:57" x14ac:dyDescent="0.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50"/>
      <c r="AL61" s="47"/>
      <c r="AM61" s="46"/>
      <c r="AN61" s="46"/>
      <c r="AO61" s="46"/>
      <c r="AP61" s="46"/>
      <c r="AQ61" s="46"/>
      <c r="AR61" s="46"/>
      <c r="AS61" s="46"/>
      <c r="AT61" s="46"/>
      <c r="AU61" s="46"/>
      <c r="AV61" s="46"/>
      <c r="AW61" s="46"/>
      <c r="AX61" s="46"/>
      <c r="AY61" s="46"/>
      <c r="AZ61" s="46"/>
      <c r="BA61" s="46"/>
      <c r="BB61" s="46"/>
      <c r="BC61" s="46"/>
      <c r="BD61" s="46"/>
      <c r="BE61" s="46"/>
    </row>
    <row r="62" spans="1:57" x14ac:dyDescent="0.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50"/>
      <c r="AL62" s="47"/>
      <c r="AM62" s="46"/>
      <c r="AN62" s="46"/>
      <c r="AO62" s="46"/>
      <c r="AP62" s="46"/>
      <c r="AQ62" s="46"/>
      <c r="AR62" s="46"/>
      <c r="AS62" s="46"/>
      <c r="AT62" s="46"/>
      <c r="AU62" s="46"/>
      <c r="AV62" s="46"/>
      <c r="AW62" s="46"/>
      <c r="AX62" s="46"/>
      <c r="AY62" s="46"/>
      <c r="AZ62" s="46"/>
      <c r="BA62" s="46"/>
      <c r="BB62" s="46"/>
      <c r="BC62" s="46"/>
      <c r="BD62" s="46"/>
      <c r="BE62" s="46"/>
    </row>
    <row r="63" spans="1:57" x14ac:dyDescent="0.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50"/>
      <c r="AL63" s="47"/>
      <c r="AM63" s="46"/>
      <c r="AN63" s="46"/>
      <c r="AO63" s="46"/>
      <c r="AP63" s="46"/>
      <c r="AQ63" s="46"/>
      <c r="AR63" s="46"/>
      <c r="AS63" s="46"/>
      <c r="AT63" s="46"/>
      <c r="AU63" s="46"/>
      <c r="AV63" s="46"/>
      <c r="AW63" s="46"/>
      <c r="AX63" s="46"/>
      <c r="AY63" s="46"/>
      <c r="AZ63" s="46"/>
      <c r="BA63" s="46"/>
      <c r="BB63" s="46"/>
      <c r="BC63" s="46"/>
      <c r="BD63" s="46"/>
      <c r="BE63" s="46"/>
    </row>
    <row r="64" spans="1:57" x14ac:dyDescent="0.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50"/>
      <c r="AL64" s="47"/>
      <c r="AM64" s="46"/>
      <c r="AN64" s="46"/>
      <c r="AO64" s="46"/>
      <c r="AP64" s="46"/>
      <c r="AQ64" s="46"/>
      <c r="AR64" s="46"/>
      <c r="AS64" s="46"/>
      <c r="AT64" s="46"/>
      <c r="AU64" s="46"/>
      <c r="AV64" s="46"/>
      <c r="AW64" s="46"/>
      <c r="AX64" s="46"/>
      <c r="AY64" s="46"/>
      <c r="AZ64" s="46"/>
      <c r="BA64" s="46"/>
      <c r="BB64" s="46"/>
      <c r="BC64" s="46"/>
      <c r="BD64" s="46"/>
      <c r="BE64" s="46"/>
    </row>
    <row r="65" spans="1:57" x14ac:dyDescent="0.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50"/>
      <c r="AL65" s="47"/>
      <c r="AM65" s="46"/>
      <c r="AN65" s="46"/>
      <c r="AO65" s="46"/>
      <c r="AP65" s="46"/>
      <c r="AQ65" s="46"/>
      <c r="AR65" s="46"/>
      <c r="AS65" s="46"/>
      <c r="AT65" s="46"/>
      <c r="AU65" s="46"/>
      <c r="AV65" s="46"/>
      <c r="AW65" s="46"/>
      <c r="AX65" s="46"/>
      <c r="AY65" s="46"/>
      <c r="AZ65" s="46"/>
      <c r="BA65" s="46"/>
      <c r="BB65" s="46"/>
      <c r="BC65" s="46"/>
      <c r="BD65" s="46"/>
      <c r="BE65" s="46"/>
    </row>
    <row r="66" spans="1:57" x14ac:dyDescent="0.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50"/>
      <c r="AL66" s="47"/>
      <c r="AM66" s="46"/>
      <c r="AN66" s="46"/>
      <c r="AO66" s="46"/>
      <c r="AP66" s="46"/>
      <c r="AQ66" s="46"/>
      <c r="AR66" s="46"/>
      <c r="AS66" s="46"/>
      <c r="AT66" s="46"/>
      <c r="AU66" s="46"/>
      <c r="AV66" s="46"/>
      <c r="AW66" s="46"/>
      <c r="AX66" s="46"/>
      <c r="AY66" s="46"/>
      <c r="AZ66" s="46"/>
      <c r="BA66" s="46"/>
      <c r="BB66" s="46"/>
      <c r="BC66" s="46"/>
      <c r="BD66" s="46"/>
      <c r="BE66" s="46"/>
    </row>
    <row r="67" spans="1:57" x14ac:dyDescent="0.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50"/>
      <c r="AL67" s="47"/>
      <c r="AM67" s="46"/>
      <c r="AN67" s="46"/>
      <c r="AO67" s="46"/>
      <c r="AP67" s="46"/>
      <c r="AQ67" s="46"/>
      <c r="AR67" s="46"/>
      <c r="AS67" s="46"/>
      <c r="AT67" s="46"/>
      <c r="AU67" s="46"/>
      <c r="AV67" s="46"/>
      <c r="AW67" s="46"/>
      <c r="AX67" s="46"/>
      <c r="AY67" s="46"/>
      <c r="AZ67" s="46"/>
      <c r="BA67" s="46"/>
      <c r="BB67" s="46"/>
      <c r="BC67" s="46"/>
      <c r="BD67" s="46"/>
      <c r="BE67" s="46"/>
    </row>
    <row r="68" spans="1:57" x14ac:dyDescent="0.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50"/>
      <c r="AL68" s="47"/>
      <c r="AM68" s="46"/>
      <c r="AN68" s="46"/>
      <c r="AO68" s="46"/>
      <c r="AP68" s="46"/>
      <c r="AQ68" s="46"/>
      <c r="AR68" s="46"/>
      <c r="AS68" s="46"/>
      <c r="AT68" s="46"/>
      <c r="AU68" s="46"/>
      <c r="AV68" s="46"/>
      <c r="AW68" s="46"/>
      <c r="AX68" s="46"/>
      <c r="AY68" s="46"/>
      <c r="AZ68" s="46"/>
      <c r="BA68" s="46"/>
      <c r="BB68" s="46"/>
      <c r="BC68" s="46"/>
      <c r="BD68" s="46"/>
      <c r="BE68" s="46"/>
    </row>
    <row r="69" spans="1:57" x14ac:dyDescent="0.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50"/>
      <c r="AL69" s="47"/>
      <c r="AM69" s="46"/>
      <c r="AN69" s="46"/>
      <c r="AO69" s="46"/>
      <c r="AP69" s="46"/>
      <c r="AQ69" s="46"/>
      <c r="AR69" s="46"/>
      <c r="AS69" s="46"/>
      <c r="AT69" s="46"/>
      <c r="AU69" s="46"/>
      <c r="AV69" s="46"/>
      <c r="AW69" s="46"/>
      <c r="AX69" s="46"/>
      <c r="AY69" s="46"/>
      <c r="AZ69" s="46"/>
      <c r="BA69" s="46"/>
      <c r="BB69" s="46"/>
      <c r="BC69" s="46"/>
      <c r="BD69" s="46"/>
      <c r="BE69" s="46"/>
    </row>
    <row r="70" spans="1:57" x14ac:dyDescent="0.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50"/>
      <c r="AL70" s="47"/>
      <c r="AM70" s="46"/>
      <c r="AN70" s="46"/>
      <c r="AO70" s="46"/>
      <c r="AP70" s="46"/>
      <c r="AQ70" s="46"/>
      <c r="AR70" s="46"/>
      <c r="AS70" s="46"/>
      <c r="AT70" s="46"/>
      <c r="AU70" s="46"/>
      <c r="AV70" s="46"/>
      <c r="AW70" s="46"/>
      <c r="AX70" s="46"/>
      <c r="AY70" s="46"/>
      <c r="AZ70" s="46"/>
      <c r="BA70" s="46"/>
      <c r="BB70" s="46"/>
      <c r="BC70" s="46"/>
      <c r="BD70" s="46"/>
      <c r="BE70" s="46"/>
    </row>
    <row r="71" spans="1:57" x14ac:dyDescent="0.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50"/>
      <c r="AL71" s="47"/>
      <c r="AM71" s="46"/>
      <c r="AN71" s="46"/>
      <c r="AO71" s="46"/>
      <c r="AP71" s="46"/>
      <c r="AQ71" s="46"/>
      <c r="AR71" s="46"/>
      <c r="AS71" s="46"/>
      <c r="AT71" s="46"/>
      <c r="AU71" s="46"/>
      <c r="AV71" s="46"/>
      <c r="AW71" s="46"/>
      <c r="AX71" s="46"/>
      <c r="AY71" s="46"/>
      <c r="AZ71" s="46"/>
      <c r="BA71" s="46"/>
      <c r="BB71" s="46"/>
      <c r="BC71" s="46"/>
      <c r="BD71" s="46"/>
      <c r="BE71" s="46"/>
    </row>
    <row r="72" spans="1:57" x14ac:dyDescent="0.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50"/>
      <c r="AL72" s="47"/>
      <c r="AM72" s="46"/>
      <c r="AN72" s="46"/>
      <c r="AO72" s="46"/>
      <c r="AP72" s="46"/>
      <c r="AQ72" s="46"/>
      <c r="AR72" s="46"/>
      <c r="AS72" s="46"/>
      <c r="AT72" s="46"/>
      <c r="AU72" s="46"/>
      <c r="AV72" s="46"/>
      <c r="AW72" s="46"/>
      <c r="AX72" s="46"/>
      <c r="AY72" s="46"/>
      <c r="AZ72" s="46"/>
      <c r="BA72" s="46"/>
      <c r="BB72" s="46"/>
      <c r="BC72" s="46"/>
      <c r="BD72" s="46"/>
      <c r="BE72" s="46"/>
    </row>
    <row r="73" spans="1:57" x14ac:dyDescent="0.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50"/>
      <c r="AL73" s="47"/>
      <c r="AM73" s="46"/>
      <c r="AN73" s="46"/>
      <c r="AO73" s="46"/>
      <c r="AP73" s="46"/>
      <c r="AQ73" s="46"/>
      <c r="AR73" s="46"/>
      <c r="AS73" s="46"/>
      <c r="AT73" s="46"/>
      <c r="AU73" s="46"/>
      <c r="AV73" s="46"/>
      <c r="AW73" s="46"/>
      <c r="AX73" s="46"/>
      <c r="AY73" s="46"/>
      <c r="AZ73" s="46"/>
      <c r="BA73" s="46"/>
      <c r="BB73" s="46"/>
      <c r="BC73" s="46"/>
      <c r="BD73" s="46"/>
      <c r="BE73" s="46"/>
    </row>
    <row r="74" spans="1:57" x14ac:dyDescent="0.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50"/>
      <c r="AL74" s="47"/>
      <c r="AM74" s="46"/>
      <c r="AN74" s="46"/>
      <c r="AO74" s="46"/>
      <c r="AP74" s="46"/>
      <c r="AQ74" s="46"/>
      <c r="AR74" s="46"/>
      <c r="AS74" s="46"/>
      <c r="AT74" s="46"/>
      <c r="AU74" s="46"/>
      <c r="AV74" s="46"/>
      <c r="AW74" s="46"/>
      <c r="AX74" s="46"/>
      <c r="AY74" s="46"/>
      <c r="AZ74" s="46"/>
      <c r="BA74" s="46"/>
      <c r="BB74" s="46"/>
      <c r="BC74" s="46"/>
      <c r="BD74" s="46"/>
      <c r="BE74" s="46"/>
    </row>
    <row r="75" spans="1:57" x14ac:dyDescent="0.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50"/>
      <c r="AL75" s="47"/>
      <c r="AM75" s="46"/>
      <c r="AN75" s="46"/>
      <c r="AO75" s="46"/>
      <c r="AP75" s="46"/>
      <c r="AQ75" s="46"/>
      <c r="AR75" s="46"/>
      <c r="AS75" s="46"/>
      <c r="AT75" s="46"/>
      <c r="AU75" s="46"/>
      <c r="AV75" s="46"/>
      <c r="AW75" s="46"/>
      <c r="AX75" s="46"/>
      <c r="AY75" s="46"/>
      <c r="AZ75" s="46"/>
      <c r="BA75" s="46"/>
      <c r="BB75" s="46"/>
      <c r="BC75" s="46"/>
      <c r="BD75" s="46"/>
      <c r="BE75" s="46"/>
    </row>
    <row r="76" spans="1:57" x14ac:dyDescent="0.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50"/>
      <c r="AL76" s="47"/>
      <c r="AM76" s="46"/>
      <c r="AN76" s="46"/>
      <c r="AO76" s="46"/>
      <c r="AP76" s="46"/>
      <c r="AQ76" s="46"/>
      <c r="AR76" s="46"/>
      <c r="AS76" s="46"/>
      <c r="AT76" s="46"/>
      <c r="AU76" s="46"/>
      <c r="AV76" s="46"/>
      <c r="AW76" s="46"/>
      <c r="AX76" s="46"/>
      <c r="AY76" s="46"/>
      <c r="AZ76" s="46"/>
      <c r="BA76" s="46"/>
      <c r="BB76" s="46"/>
      <c r="BC76" s="46"/>
      <c r="BD76" s="46"/>
      <c r="BE76" s="46"/>
    </row>
    <row r="77" spans="1:57" x14ac:dyDescent="0.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50"/>
      <c r="AL77" s="47"/>
      <c r="AM77" s="46"/>
      <c r="AN77" s="46"/>
      <c r="AO77" s="46"/>
      <c r="AP77" s="46"/>
      <c r="AQ77" s="46"/>
      <c r="AR77" s="46"/>
      <c r="AS77" s="46"/>
      <c r="AT77" s="46"/>
      <c r="AU77" s="46"/>
      <c r="AV77" s="46"/>
      <c r="AW77" s="46"/>
      <c r="AX77" s="46"/>
      <c r="AY77" s="46"/>
      <c r="AZ77" s="46"/>
      <c r="BA77" s="46"/>
      <c r="BB77" s="46"/>
      <c r="BC77" s="46"/>
      <c r="BD77" s="46"/>
      <c r="BE77" s="46"/>
    </row>
    <row r="78" spans="1:57" x14ac:dyDescent="0.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50"/>
      <c r="AL78" s="47"/>
      <c r="AM78" s="46"/>
      <c r="AN78" s="46"/>
      <c r="AO78" s="46"/>
      <c r="AP78" s="46"/>
      <c r="AQ78" s="46"/>
      <c r="AR78" s="46"/>
      <c r="AS78" s="46"/>
      <c r="AT78" s="46"/>
      <c r="AU78" s="46"/>
      <c r="AV78" s="46"/>
      <c r="AW78" s="46"/>
      <c r="AX78" s="46"/>
      <c r="AY78" s="46"/>
      <c r="AZ78" s="46"/>
      <c r="BA78" s="46"/>
      <c r="BB78" s="46"/>
      <c r="BC78" s="46"/>
      <c r="BD78" s="46"/>
      <c r="BE78" s="46"/>
    </row>
    <row r="79" spans="1:57" x14ac:dyDescent="0.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50"/>
      <c r="AL79" s="47"/>
      <c r="AM79" s="46"/>
      <c r="AN79" s="46"/>
      <c r="AO79" s="46"/>
      <c r="AP79" s="46"/>
      <c r="AQ79" s="46"/>
      <c r="AR79" s="46"/>
      <c r="AS79" s="46"/>
      <c r="AT79" s="46"/>
      <c r="AU79" s="46"/>
      <c r="AV79" s="46"/>
      <c r="AW79" s="46"/>
      <c r="AX79" s="46"/>
      <c r="AY79" s="46"/>
      <c r="AZ79" s="46"/>
      <c r="BA79" s="46"/>
      <c r="BB79" s="46"/>
      <c r="BC79" s="46"/>
      <c r="BD79" s="46"/>
      <c r="BE79" s="46"/>
    </row>
    <row r="80" spans="1:57" x14ac:dyDescent="0.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50"/>
      <c r="AL80" s="47"/>
      <c r="AM80" s="46"/>
      <c r="AN80" s="46"/>
      <c r="AO80" s="46"/>
      <c r="AP80" s="46"/>
      <c r="AQ80" s="46"/>
      <c r="AR80" s="46"/>
      <c r="AS80" s="46"/>
      <c r="AT80" s="46"/>
      <c r="AU80" s="46"/>
      <c r="AV80" s="46"/>
      <c r="AW80" s="46"/>
      <c r="AX80" s="46"/>
      <c r="AY80" s="46"/>
      <c r="AZ80" s="46"/>
      <c r="BA80" s="46"/>
      <c r="BB80" s="46"/>
      <c r="BC80" s="46"/>
      <c r="BD80" s="46"/>
      <c r="BE80" s="46"/>
    </row>
    <row r="81" spans="1:57" x14ac:dyDescent="0.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50"/>
      <c r="AL81" s="47"/>
      <c r="AM81" s="46"/>
      <c r="AN81" s="46"/>
      <c r="AO81" s="46"/>
      <c r="AP81" s="46"/>
      <c r="AQ81" s="46"/>
      <c r="AR81" s="46"/>
      <c r="AS81" s="46"/>
      <c r="AT81" s="46"/>
      <c r="AU81" s="46"/>
      <c r="AV81" s="46"/>
      <c r="AW81" s="46"/>
      <c r="AX81" s="46"/>
      <c r="AY81" s="46"/>
      <c r="AZ81" s="46"/>
      <c r="BA81" s="46"/>
      <c r="BB81" s="46"/>
      <c r="BC81" s="46"/>
      <c r="BD81" s="46"/>
      <c r="BE81" s="46"/>
    </row>
    <row r="82" spans="1:57" x14ac:dyDescent="0.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50"/>
      <c r="AL82" s="47"/>
      <c r="AM82" s="46"/>
      <c r="AN82" s="46"/>
      <c r="AO82" s="46"/>
      <c r="AP82" s="46"/>
      <c r="AQ82" s="46"/>
      <c r="AR82" s="46"/>
      <c r="AS82" s="46"/>
      <c r="AT82" s="46"/>
      <c r="AU82" s="46"/>
      <c r="AV82" s="46"/>
      <c r="AW82" s="46"/>
      <c r="AX82" s="46"/>
      <c r="AY82" s="46"/>
      <c r="AZ82" s="46"/>
      <c r="BA82" s="46"/>
      <c r="BB82" s="46"/>
      <c r="BC82" s="46"/>
      <c r="BD82" s="46"/>
      <c r="BE82" s="46"/>
    </row>
    <row r="83" spans="1:57" x14ac:dyDescent="0.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50"/>
      <c r="AL83" s="47"/>
      <c r="AM83" s="46"/>
      <c r="AN83" s="46"/>
      <c r="AO83" s="46"/>
      <c r="AP83" s="46"/>
      <c r="AQ83" s="46"/>
      <c r="AR83" s="46"/>
      <c r="AS83" s="46"/>
      <c r="AT83" s="46"/>
      <c r="AU83" s="46"/>
      <c r="AV83" s="46"/>
      <c r="AW83" s="46"/>
      <c r="AX83" s="46"/>
      <c r="AY83" s="46"/>
      <c r="AZ83" s="46"/>
      <c r="BA83" s="46"/>
      <c r="BB83" s="46"/>
      <c r="BC83" s="46"/>
      <c r="BD83" s="46"/>
      <c r="BE83" s="46"/>
    </row>
    <row r="84" spans="1:57" x14ac:dyDescent="0.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50"/>
      <c r="AL84" s="47"/>
      <c r="AM84" s="46"/>
      <c r="AN84" s="46"/>
      <c r="AO84" s="46"/>
      <c r="AP84" s="46"/>
      <c r="AQ84" s="46"/>
      <c r="AR84" s="46"/>
      <c r="AS84" s="46"/>
      <c r="AT84" s="46"/>
      <c r="AU84" s="46"/>
      <c r="AV84" s="46"/>
      <c r="AW84" s="46"/>
      <c r="AX84" s="46"/>
      <c r="AY84" s="46"/>
      <c r="AZ84" s="46"/>
      <c r="BA84" s="46"/>
      <c r="BB84" s="46"/>
      <c r="BC84" s="46"/>
      <c r="BD84" s="46"/>
      <c r="BE84" s="46"/>
    </row>
    <row r="85" spans="1:57" x14ac:dyDescent="0.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50"/>
      <c r="AL85" s="47"/>
      <c r="AM85" s="46"/>
      <c r="AN85" s="46"/>
      <c r="AO85" s="46"/>
      <c r="AP85" s="46"/>
      <c r="AQ85" s="46"/>
      <c r="AR85" s="46"/>
      <c r="AS85" s="46"/>
      <c r="AT85" s="46"/>
      <c r="AU85" s="46"/>
      <c r="AV85" s="46"/>
      <c r="AW85" s="46"/>
      <c r="AX85" s="46"/>
      <c r="AY85" s="46"/>
      <c r="AZ85" s="46"/>
      <c r="BA85" s="46"/>
      <c r="BB85" s="46"/>
      <c r="BC85" s="46"/>
      <c r="BD85" s="46"/>
      <c r="BE85" s="46"/>
    </row>
    <row r="86" spans="1:57" x14ac:dyDescent="0.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50"/>
      <c r="AL86" s="47"/>
      <c r="AM86" s="46"/>
      <c r="AN86" s="46"/>
      <c r="AO86" s="46"/>
      <c r="AP86" s="46"/>
      <c r="AQ86" s="46"/>
      <c r="AR86" s="46"/>
      <c r="AS86" s="46"/>
      <c r="AT86" s="46"/>
      <c r="AU86" s="46"/>
      <c r="AV86" s="46"/>
      <c r="AW86" s="46"/>
      <c r="AX86" s="46"/>
      <c r="AY86" s="46"/>
      <c r="AZ86" s="46"/>
      <c r="BA86" s="46"/>
      <c r="BB86" s="46"/>
      <c r="BC86" s="46"/>
      <c r="BD86" s="46"/>
      <c r="BE86" s="46"/>
    </row>
    <row r="87" spans="1:57" x14ac:dyDescent="0.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50"/>
      <c r="AL87" s="47"/>
      <c r="AM87" s="46"/>
      <c r="AN87" s="46"/>
      <c r="AO87" s="46"/>
      <c r="AP87" s="46"/>
      <c r="AQ87" s="46"/>
      <c r="AR87" s="46"/>
      <c r="AS87" s="46"/>
      <c r="AT87" s="46"/>
      <c r="AU87" s="46"/>
      <c r="AV87" s="46"/>
      <c r="AW87" s="46"/>
      <c r="AX87" s="46"/>
      <c r="AY87" s="46"/>
      <c r="AZ87" s="46"/>
      <c r="BA87" s="46"/>
      <c r="BB87" s="46"/>
      <c r="BC87" s="46"/>
      <c r="BD87" s="46"/>
      <c r="BE87" s="46"/>
    </row>
    <row r="88" spans="1:57" x14ac:dyDescent="0.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50"/>
      <c r="AL88" s="47"/>
      <c r="AM88" s="46"/>
      <c r="AN88" s="46"/>
      <c r="AO88" s="46"/>
      <c r="AP88" s="46"/>
      <c r="AQ88" s="46"/>
      <c r="AR88" s="46"/>
      <c r="AS88" s="46"/>
      <c r="AT88" s="46"/>
      <c r="AU88" s="46"/>
      <c r="AV88" s="46"/>
      <c r="AW88" s="46"/>
      <c r="AX88" s="46"/>
      <c r="AY88" s="46"/>
      <c r="AZ88" s="46"/>
      <c r="BA88" s="46"/>
      <c r="BB88" s="46"/>
      <c r="BC88" s="46"/>
      <c r="BD88" s="46"/>
      <c r="BE88" s="46"/>
    </row>
    <row r="89" spans="1:57" x14ac:dyDescent="0.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50"/>
      <c r="AL89" s="47"/>
      <c r="AM89" s="46"/>
      <c r="AN89" s="46"/>
      <c r="AO89" s="46"/>
      <c r="AP89" s="46"/>
      <c r="AQ89" s="46"/>
      <c r="AR89" s="46"/>
      <c r="AS89" s="46"/>
      <c r="AT89" s="46"/>
      <c r="AU89" s="46"/>
      <c r="AV89" s="46"/>
      <c r="AW89" s="46"/>
      <c r="AX89" s="46"/>
      <c r="AY89" s="46"/>
      <c r="AZ89" s="46"/>
      <c r="BA89" s="46"/>
      <c r="BB89" s="46"/>
      <c r="BC89" s="46"/>
      <c r="BD89" s="46"/>
      <c r="BE89" s="46"/>
    </row>
    <row r="90" spans="1:57" x14ac:dyDescent="0.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50"/>
      <c r="AL90" s="47"/>
      <c r="AM90" s="46"/>
      <c r="AN90" s="46"/>
      <c r="AO90" s="46"/>
      <c r="AP90" s="46"/>
      <c r="AQ90" s="46"/>
      <c r="AR90" s="46"/>
      <c r="AS90" s="46"/>
      <c r="AT90" s="46"/>
      <c r="AU90" s="46"/>
      <c r="AV90" s="46"/>
      <c r="AW90" s="46"/>
      <c r="AX90" s="46"/>
      <c r="AY90" s="46"/>
      <c r="AZ90" s="46"/>
      <c r="BA90" s="46"/>
      <c r="BB90" s="46"/>
      <c r="BC90" s="46"/>
      <c r="BD90" s="46"/>
      <c r="BE90" s="46"/>
    </row>
    <row r="91" spans="1:57" x14ac:dyDescent="0.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50"/>
      <c r="AL91" s="47"/>
      <c r="AM91" s="46"/>
      <c r="AN91" s="46"/>
      <c r="AO91" s="46"/>
      <c r="AP91" s="46"/>
      <c r="AQ91" s="46"/>
      <c r="AR91" s="46"/>
      <c r="AS91" s="46"/>
      <c r="AT91" s="46"/>
      <c r="AU91" s="46"/>
      <c r="AV91" s="46"/>
      <c r="AW91" s="46"/>
      <c r="AX91" s="46"/>
      <c r="AY91" s="46"/>
      <c r="AZ91" s="46"/>
      <c r="BA91" s="46"/>
      <c r="BB91" s="46"/>
      <c r="BC91" s="46"/>
      <c r="BD91" s="46"/>
      <c r="BE91" s="46"/>
    </row>
    <row r="92" spans="1:57" x14ac:dyDescent="0.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50"/>
      <c r="AL92" s="47"/>
      <c r="AM92" s="46"/>
      <c r="AN92" s="46"/>
      <c r="AO92" s="46"/>
      <c r="AP92" s="46"/>
      <c r="AQ92" s="46"/>
      <c r="AR92" s="46"/>
      <c r="AS92" s="46"/>
      <c r="AT92" s="46"/>
      <c r="AU92" s="46"/>
      <c r="AV92" s="46"/>
      <c r="AW92" s="46"/>
      <c r="AX92" s="46"/>
      <c r="AY92" s="46"/>
      <c r="AZ92" s="46"/>
      <c r="BA92" s="46"/>
      <c r="BB92" s="46"/>
      <c r="BC92" s="46"/>
      <c r="BD92" s="46"/>
      <c r="BE92" s="46"/>
    </row>
    <row r="93" spans="1:57" x14ac:dyDescent="0.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50"/>
      <c r="AL93" s="47"/>
      <c r="AM93" s="46"/>
      <c r="AN93" s="46"/>
      <c r="AO93" s="46"/>
      <c r="AP93" s="46"/>
      <c r="AQ93" s="46"/>
      <c r="AR93" s="46"/>
      <c r="AS93" s="46"/>
      <c r="AT93" s="46"/>
      <c r="AU93" s="46"/>
      <c r="AV93" s="46"/>
      <c r="AW93" s="46"/>
      <c r="AX93" s="46"/>
      <c r="AY93" s="46"/>
      <c r="AZ93" s="46"/>
      <c r="BA93" s="46"/>
      <c r="BB93" s="46"/>
      <c r="BC93" s="46"/>
      <c r="BD93" s="46"/>
      <c r="BE93" s="46"/>
    </row>
    <row r="94" spans="1:57" x14ac:dyDescent="0.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50"/>
      <c r="AL94" s="47"/>
      <c r="AM94" s="46"/>
      <c r="AN94" s="46"/>
      <c r="AO94" s="46"/>
      <c r="AP94" s="46"/>
      <c r="AQ94" s="46"/>
      <c r="AR94" s="46"/>
      <c r="AS94" s="46"/>
      <c r="AT94" s="46"/>
      <c r="AU94" s="46"/>
      <c r="AV94" s="46"/>
      <c r="AW94" s="46"/>
      <c r="AX94" s="46"/>
      <c r="AY94" s="46"/>
      <c r="AZ94" s="46"/>
      <c r="BA94" s="46"/>
      <c r="BB94" s="46"/>
      <c r="BC94" s="46"/>
      <c r="BD94" s="46"/>
      <c r="BE94" s="46"/>
    </row>
    <row r="95" spans="1:57" x14ac:dyDescent="0.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50"/>
      <c r="AL95" s="47"/>
      <c r="AM95" s="46"/>
      <c r="AN95" s="46"/>
      <c r="AO95" s="46"/>
      <c r="AP95" s="46"/>
      <c r="AQ95" s="46"/>
      <c r="AR95" s="46"/>
      <c r="AS95" s="46"/>
      <c r="AT95" s="46"/>
      <c r="AU95" s="46"/>
      <c r="AV95" s="46"/>
      <c r="AW95" s="46"/>
      <c r="AX95" s="46"/>
      <c r="AY95" s="46"/>
      <c r="AZ95" s="46"/>
      <c r="BA95" s="46"/>
      <c r="BB95" s="46"/>
      <c r="BC95" s="46"/>
      <c r="BD95" s="46"/>
      <c r="BE95" s="46"/>
    </row>
    <row r="96" spans="1:57" x14ac:dyDescent="0.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50"/>
      <c r="AL96" s="47"/>
      <c r="AM96" s="46"/>
      <c r="AN96" s="46"/>
      <c r="AO96" s="46"/>
      <c r="AP96" s="46"/>
      <c r="AQ96" s="46"/>
      <c r="AR96" s="46"/>
      <c r="AS96" s="46"/>
      <c r="AT96" s="46"/>
      <c r="AU96" s="46"/>
      <c r="AV96" s="46"/>
      <c r="AW96" s="46"/>
      <c r="AX96" s="46"/>
      <c r="AY96" s="46"/>
      <c r="AZ96" s="46"/>
      <c r="BA96" s="46"/>
      <c r="BB96" s="46"/>
      <c r="BC96" s="46"/>
      <c r="BD96" s="46"/>
      <c r="BE96" s="46"/>
    </row>
    <row r="97" spans="1:57" x14ac:dyDescent="0.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50"/>
      <c r="AL97" s="47"/>
      <c r="AM97" s="46"/>
      <c r="AN97" s="46"/>
      <c r="AO97" s="46"/>
      <c r="AP97" s="46"/>
      <c r="AQ97" s="46"/>
      <c r="AR97" s="46"/>
      <c r="AS97" s="46"/>
      <c r="AT97" s="46"/>
      <c r="AU97" s="46"/>
      <c r="AV97" s="46"/>
      <c r="AW97" s="46"/>
      <c r="AX97" s="46"/>
      <c r="AY97" s="46"/>
      <c r="AZ97" s="46"/>
      <c r="BA97" s="46"/>
      <c r="BB97" s="46"/>
      <c r="BC97" s="46"/>
      <c r="BD97" s="46"/>
      <c r="BE97" s="46"/>
    </row>
    <row r="98" spans="1:57" x14ac:dyDescent="0.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50"/>
      <c r="AL98" s="47"/>
      <c r="AM98" s="46"/>
      <c r="AN98" s="46"/>
      <c r="AO98" s="46"/>
      <c r="AP98" s="46"/>
      <c r="AQ98" s="46"/>
      <c r="AR98" s="46"/>
      <c r="AS98" s="46"/>
      <c r="AT98" s="46"/>
      <c r="AU98" s="46"/>
      <c r="AV98" s="46"/>
      <c r="AW98" s="46"/>
      <c r="AX98" s="46"/>
      <c r="AY98" s="46"/>
      <c r="AZ98" s="46"/>
      <c r="BA98" s="46"/>
      <c r="BB98" s="46"/>
      <c r="BC98" s="46"/>
      <c r="BD98" s="46"/>
      <c r="BE98" s="46"/>
    </row>
    <row r="99" spans="1:57" x14ac:dyDescent="0.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50"/>
      <c r="AL99" s="47"/>
      <c r="AM99" s="46"/>
      <c r="AN99" s="46"/>
      <c r="AO99" s="46"/>
      <c r="AP99" s="46"/>
      <c r="AQ99" s="46"/>
      <c r="AR99" s="46"/>
      <c r="AS99" s="46"/>
      <c r="AT99" s="46"/>
      <c r="AU99" s="46"/>
      <c r="AV99" s="46"/>
      <c r="AW99" s="46"/>
      <c r="AX99" s="46"/>
      <c r="AY99" s="46"/>
      <c r="AZ99" s="46"/>
      <c r="BA99" s="46"/>
      <c r="BB99" s="46"/>
      <c r="BC99" s="46"/>
      <c r="BD99" s="46"/>
      <c r="BE99" s="46"/>
    </row>
    <row r="100" spans="1:57" x14ac:dyDescent="0.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50"/>
      <c r="AL100" s="47"/>
      <c r="AM100" s="46"/>
      <c r="AN100" s="46"/>
      <c r="AO100" s="46"/>
      <c r="AP100" s="46"/>
      <c r="AQ100" s="46"/>
      <c r="AR100" s="46"/>
      <c r="AS100" s="46"/>
      <c r="AT100" s="46"/>
      <c r="AU100" s="46"/>
      <c r="AV100" s="46"/>
      <c r="AW100" s="46"/>
      <c r="AX100" s="46"/>
      <c r="AY100" s="46"/>
      <c r="AZ100" s="46"/>
      <c r="BA100" s="46"/>
      <c r="BB100" s="46"/>
      <c r="BC100" s="46"/>
      <c r="BD100" s="46"/>
      <c r="BE100" s="46"/>
    </row>
    <row r="101" spans="1:57" x14ac:dyDescent="0.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50"/>
      <c r="AL101" s="47"/>
      <c r="AM101" s="46"/>
      <c r="AN101" s="46"/>
      <c r="AO101" s="46"/>
      <c r="AP101" s="46"/>
      <c r="AQ101" s="46"/>
      <c r="AR101" s="46"/>
      <c r="AS101" s="46"/>
      <c r="AT101" s="46"/>
      <c r="AU101" s="46"/>
      <c r="AV101" s="46"/>
      <c r="AW101" s="46"/>
      <c r="AX101" s="46"/>
      <c r="AY101" s="46"/>
      <c r="AZ101" s="46"/>
      <c r="BA101" s="46"/>
      <c r="BB101" s="46"/>
      <c r="BC101" s="46"/>
      <c r="BD101" s="46"/>
      <c r="BE101" s="46"/>
    </row>
    <row r="102" spans="1:57" x14ac:dyDescent="0.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50"/>
      <c r="AL102" s="47"/>
      <c r="AM102" s="46"/>
      <c r="AN102" s="46"/>
      <c r="AO102" s="46"/>
      <c r="AP102" s="46"/>
      <c r="AQ102" s="46"/>
      <c r="AR102" s="46"/>
      <c r="AS102" s="46"/>
      <c r="AT102" s="46"/>
      <c r="AU102" s="46"/>
      <c r="AV102" s="46"/>
      <c r="AW102" s="46"/>
      <c r="AX102" s="46"/>
      <c r="AY102" s="46"/>
      <c r="AZ102" s="46"/>
      <c r="BA102" s="46"/>
      <c r="BB102" s="46"/>
      <c r="BC102" s="46"/>
      <c r="BD102" s="46"/>
      <c r="BE102" s="46"/>
    </row>
    <row r="103" spans="1:57" x14ac:dyDescent="0.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50"/>
      <c r="AL103" s="47"/>
      <c r="AM103" s="46"/>
      <c r="AN103" s="46"/>
      <c r="AO103" s="46"/>
      <c r="AP103" s="46"/>
      <c r="AQ103" s="46"/>
      <c r="AR103" s="46"/>
      <c r="AS103" s="46"/>
      <c r="AT103" s="46"/>
      <c r="AU103" s="46"/>
      <c r="AV103" s="46"/>
      <c r="AW103" s="46"/>
      <c r="AX103" s="46"/>
      <c r="AY103" s="46"/>
      <c r="AZ103" s="46"/>
      <c r="BA103" s="46"/>
      <c r="BB103" s="46"/>
      <c r="BC103" s="46"/>
      <c r="BD103" s="46"/>
      <c r="BE103" s="46"/>
    </row>
    <row r="104" spans="1:57" x14ac:dyDescent="0.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50"/>
      <c r="AL104" s="47"/>
      <c r="AM104" s="46"/>
      <c r="AN104" s="46"/>
      <c r="AO104" s="46"/>
      <c r="AP104" s="46"/>
      <c r="AQ104" s="46"/>
      <c r="AR104" s="46"/>
      <c r="AS104" s="46"/>
      <c r="AT104" s="46"/>
      <c r="AU104" s="46"/>
      <c r="AV104" s="46"/>
      <c r="AW104" s="46"/>
      <c r="AX104" s="46"/>
      <c r="AY104" s="46"/>
      <c r="AZ104" s="46"/>
      <c r="BA104" s="46"/>
      <c r="BB104" s="46"/>
      <c r="BC104" s="46"/>
      <c r="BD104" s="46"/>
      <c r="BE104" s="46"/>
    </row>
    <row r="105" spans="1:57" x14ac:dyDescent="0.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50"/>
      <c r="AL105" s="47"/>
      <c r="AM105" s="46"/>
      <c r="AN105" s="46"/>
      <c r="AO105" s="46"/>
      <c r="AP105" s="46"/>
      <c r="AQ105" s="46"/>
      <c r="AR105" s="46"/>
      <c r="AS105" s="46"/>
      <c r="AT105" s="46"/>
      <c r="AU105" s="46"/>
      <c r="AV105" s="46"/>
      <c r="AW105" s="46"/>
      <c r="AX105" s="46"/>
      <c r="AY105" s="46"/>
      <c r="AZ105" s="46"/>
      <c r="BA105" s="46"/>
      <c r="BB105" s="46"/>
      <c r="BC105" s="46"/>
      <c r="BD105" s="46"/>
      <c r="BE105" s="46"/>
    </row>
    <row r="106" spans="1:57" x14ac:dyDescent="0.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50"/>
      <c r="AL106" s="47"/>
      <c r="AM106" s="46"/>
      <c r="AN106" s="46"/>
      <c r="AO106" s="46"/>
      <c r="AP106" s="46"/>
      <c r="AQ106" s="46"/>
      <c r="AR106" s="46"/>
      <c r="AS106" s="46"/>
      <c r="AT106" s="46"/>
      <c r="AU106" s="46"/>
      <c r="AV106" s="46"/>
      <c r="AW106" s="46"/>
      <c r="AX106" s="46"/>
      <c r="AY106" s="46"/>
      <c r="AZ106" s="46"/>
      <c r="BA106" s="46"/>
      <c r="BB106" s="46"/>
      <c r="BC106" s="46"/>
      <c r="BD106" s="46"/>
      <c r="BE106" s="46"/>
    </row>
    <row r="107" spans="1:57" x14ac:dyDescent="0.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50"/>
      <c r="AL107" s="47"/>
      <c r="AM107" s="46"/>
      <c r="AN107" s="46"/>
      <c r="AO107" s="46"/>
      <c r="AP107" s="46"/>
      <c r="AQ107" s="46"/>
      <c r="AR107" s="46"/>
      <c r="AS107" s="46"/>
      <c r="AT107" s="46"/>
      <c r="AU107" s="46"/>
      <c r="AV107" s="46"/>
      <c r="AW107" s="46"/>
      <c r="AX107" s="46"/>
      <c r="AY107" s="46"/>
      <c r="AZ107" s="46"/>
      <c r="BA107" s="46"/>
      <c r="BB107" s="46"/>
      <c r="BC107" s="46"/>
      <c r="BD107" s="46"/>
      <c r="BE107" s="46"/>
    </row>
    <row r="108" spans="1:57" x14ac:dyDescent="0.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50"/>
      <c r="AL108" s="47"/>
      <c r="AM108" s="46"/>
      <c r="AN108" s="46"/>
      <c r="AO108" s="46"/>
      <c r="AP108" s="46"/>
      <c r="AQ108" s="46"/>
      <c r="AR108" s="46"/>
      <c r="AS108" s="46"/>
      <c r="AT108" s="46"/>
      <c r="AU108" s="46"/>
      <c r="AV108" s="46"/>
      <c r="AW108" s="46"/>
      <c r="AX108" s="46"/>
      <c r="AY108" s="46"/>
      <c r="AZ108" s="46"/>
      <c r="BA108" s="46"/>
      <c r="BB108" s="46"/>
      <c r="BC108" s="46"/>
      <c r="BD108" s="46"/>
      <c r="BE108" s="46"/>
    </row>
    <row r="109" spans="1:57" x14ac:dyDescent="0.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50"/>
      <c r="AL109" s="47"/>
      <c r="AM109" s="46"/>
      <c r="AN109" s="46"/>
      <c r="AO109" s="46"/>
      <c r="AP109" s="46"/>
      <c r="AQ109" s="46"/>
      <c r="AR109" s="46"/>
      <c r="AS109" s="46"/>
      <c r="AT109" s="46"/>
      <c r="AU109" s="46"/>
      <c r="AV109" s="46"/>
      <c r="AW109" s="46"/>
      <c r="AX109" s="46"/>
      <c r="AY109" s="46"/>
      <c r="AZ109" s="46"/>
      <c r="BA109" s="46"/>
      <c r="BB109" s="46"/>
      <c r="BC109" s="46"/>
      <c r="BD109" s="46"/>
      <c r="BE109" s="46"/>
    </row>
    <row r="110" spans="1:57" x14ac:dyDescent="0.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50"/>
      <c r="AL110" s="47"/>
      <c r="AM110" s="46"/>
      <c r="AN110" s="46"/>
      <c r="AO110" s="46"/>
      <c r="AP110" s="46"/>
      <c r="AQ110" s="46"/>
      <c r="AR110" s="46"/>
      <c r="AS110" s="46"/>
      <c r="AT110" s="46"/>
      <c r="AU110" s="46"/>
      <c r="AV110" s="46"/>
      <c r="AW110" s="46"/>
      <c r="AX110" s="46"/>
      <c r="AY110" s="46"/>
      <c r="AZ110" s="46"/>
      <c r="BA110" s="46"/>
      <c r="BB110" s="46"/>
      <c r="BC110" s="46"/>
      <c r="BD110" s="46"/>
      <c r="BE110" s="46"/>
    </row>
    <row r="111" spans="1:57" x14ac:dyDescent="0.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50"/>
      <c r="AL111" s="47"/>
      <c r="AM111" s="46"/>
      <c r="AN111" s="46"/>
      <c r="AO111" s="46"/>
      <c r="AP111" s="46"/>
      <c r="AQ111" s="46"/>
      <c r="AR111" s="46"/>
      <c r="AS111" s="46"/>
      <c r="AT111" s="46"/>
      <c r="AU111" s="46"/>
      <c r="AV111" s="46"/>
      <c r="AW111" s="46"/>
      <c r="AX111" s="46"/>
      <c r="AY111" s="46"/>
      <c r="AZ111" s="46"/>
      <c r="BA111" s="46"/>
      <c r="BB111" s="46"/>
      <c r="BC111" s="46"/>
      <c r="BD111" s="46"/>
      <c r="BE111" s="46"/>
    </row>
    <row r="112" spans="1:57" x14ac:dyDescent="0.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50"/>
      <c r="AL112" s="47"/>
      <c r="AM112" s="46"/>
      <c r="AN112" s="46"/>
      <c r="AO112" s="46"/>
      <c r="AP112" s="46"/>
      <c r="AQ112" s="46"/>
      <c r="AR112" s="46"/>
      <c r="AS112" s="46"/>
      <c r="AT112" s="46"/>
      <c r="AU112" s="46"/>
      <c r="AV112" s="46"/>
      <c r="AW112" s="46"/>
      <c r="AX112" s="46"/>
      <c r="AY112" s="46"/>
      <c r="AZ112" s="46"/>
      <c r="BA112" s="46"/>
      <c r="BB112" s="46"/>
      <c r="BC112" s="46"/>
      <c r="BD112" s="46"/>
      <c r="BE112" s="46"/>
    </row>
    <row r="113" spans="1:57" x14ac:dyDescent="0.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50"/>
      <c r="AL113" s="47"/>
      <c r="AM113" s="46"/>
      <c r="AN113" s="46"/>
      <c r="AO113" s="46"/>
      <c r="AP113" s="46"/>
      <c r="AQ113" s="46"/>
      <c r="AR113" s="46"/>
      <c r="AS113" s="46"/>
      <c r="AT113" s="46"/>
      <c r="AU113" s="46"/>
      <c r="AV113" s="46"/>
      <c r="AW113" s="46"/>
      <c r="AX113" s="46"/>
      <c r="AY113" s="46"/>
      <c r="AZ113" s="46"/>
      <c r="BA113" s="46"/>
      <c r="BB113" s="46"/>
      <c r="BC113" s="46"/>
      <c r="BD113" s="46"/>
      <c r="BE113" s="46"/>
    </row>
    <row r="114" spans="1:57" x14ac:dyDescent="0.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50"/>
      <c r="AL114" s="47"/>
      <c r="AM114" s="46"/>
      <c r="AN114" s="46"/>
      <c r="AO114" s="46"/>
      <c r="AP114" s="46"/>
      <c r="AQ114" s="46"/>
      <c r="AR114" s="46"/>
      <c r="AS114" s="46"/>
      <c r="AT114" s="46"/>
      <c r="AU114" s="46"/>
      <c r="AV114" s="46"/>
      <c r="AW114" s="46"/>
      <c r="AX114" s="46"/>
      <c r="AY114" s="46"/>
      <c r="AZ114" s="46"/>
      <c r="BA114" s="46"/>
      <c r="BB114" s="46"/>
      <c r="BC114" s="46"/>
      <c r="BD114" s="46"/>
      <c r="BE114" s="46"/>
    </row>
    <row r="115" spans="1:57" x14ac:dyDescent="0.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50"/>
      <c r="AL115" s="47"/>
      <c r="AM115" s="46"/>
      <c r="AN115" s="46"/>
      <c r="AO115" s="46"/>
      <c r="AP115" s="46"/>
      <c r="AQ115" s="46"/>
      <c r="AR115" s="46"/>
      <c r="AS115" s="46"/>
      <c r="AT115" s="46"/>
      <c r="AU115" s="46"/>
      <c r="AV115" s="46"/>
      <c r="AW115" s="46"/>
      <c r="AX115" s="46"/>
      <c r="AY115" s="46"/>
      <c r="AZ115" s="46"/>
      <c r="BA115" s="46"/>
      <c r="BB115" s="46"/>
      <c r="BC115" s="46"/>
      <c r="BD115" s="46"/>
      <c r="BE115" s="46"/>
    </row>
    <row r="116" spans="1:57" x14ac:dyDescent="0.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50"/>
      <c r="AL116" s="47"/>
      <c r="AM116" s="46"/>
      <c r="AN116" s="46"/>
      <c r="AO116" s="46"/>
      <c r="AP116" s="46"/>
      <c r="AQ116" s="46"/>
      <c r="AR116" s="46"/>
      <c r="AS116" s="46"/>
      <c r="AT116" s="46"/>
      <c r="AU116" s="46"/>
      <c r="AV116" s="46"/>
      <c r="AW116" s="46"/>
      <c r="AX116" s="46"/>
      <c r="AY116" s="46"/>
      <c r="AZ116" s="46"/>
      <c r="BA116" s="46"/>
      <c r="BB116" s="46"/>
      <c r="BC116" s="46"/>
      <c r="BD116" s="46"/>
      <c r="BE116" s="46"/>
    </row>
    <row r="117" spans="1:57" x14ac:dyDescent="0.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50"/>
      <c r="AL117" s="47"/>
      <c r="AM117" s="46"/>
      <c r="AN117" s="46"/>
      <c r="AO117" s="46"/>
      <c r="AP117" s="46"/>
      <c r="AQ117" s="46"/>
      <c r="AR117" s="46"/>
      <c r="AS117" s="46"/>
      <c r="AT117" s="46"/>
      <c r="AU117" s="46"/>
      <c r="AV117" s="46"/>
      <c r="AW117" s="46"/>
      <c r="AX117" s="46"/>
      <c r="AY117" s="46"/>
      <c r="AZ117" s="46"/>
      <c r="BA117" s="46"/>
      <c r="BB117" s="46"/>
      <c r="BC117" s="46"/>
      <c r="BD117" s="46"/>
      <c r="BE117" s="46"/>
    </row>
    <row r="118" spans="1:57" x14ac:dyDescent="0.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50"/>
      <c r="AL118" s="47"/>
      <c r="AM118" s="46"/>
      <c r="AN118" s="46"/>
      <c r="AO118" s="46"/>
      <c r="AP118" s="46"/>
      <c r="AQ118" s="46"/>
      <c r="AR118" s="46"/>
      <c r="AS118" s="46"/>
      <c r="AT118" s="46"/>
      <c r="AU118" s="46"/>
      <c r="AV118" s="46"/>
      <c r="AW118" s="46"/>
      <c r="AX118" s="46"/>
      <c r="AY118" s="46"/>
      <c r="AZ118" s="46"/>
      <c r="BA118" s="46"/>
      <c r="BB118" s="46"/>
      <c r="BC118" s="46"/>
      <c r="BD118" s="46"/>
      <c r="BE118" s="46"/>
    </row>
    <row r="119" spans="1:57" x14ac:dyDescent="0.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50"/>
      <c r="AL119" s="47"/>
      <c r="AM119" s="46"/>
      <c r="AN119" s="46"/>
      <c r="AO119" s="46"/>
      <c r="AP119" s="46"/>
      <c r="AQ119" s="46"/>
      <c r="AR119" s="46"/>
      <c r="AS119" s="46"/>
      <c r="AT119" s="46"/>
      <c r="AU119" s="46"/>
      <c r="AV119" s="46"/>
      <c r="AW119" s="46"/>
      <c r="AX119" s="46"/>
      <c r="AY119" s="46"/>
      <c r="AZ119" s="46"/>
      <c r="BA119" s="46"/>
      <c r="BB119" s="46"/>
      <c r="BC119" s="46"/>
      <c r="BD119" s="46"/>
      <c r="BE119" s="46"/>
    </row>
    <row r="120" spans="1:57" x14ac:dyDescent="0.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50"/>
      <c r="AL120" s="47"/>
      <c r="AM120" s="46"/>
      <c r="AN120" s="46"/>
      <c r="AO120" s="46"/>
      <c r="AP120" s="46"/>
      <c r="AQ120" s="46"/>
      <c r="AR120" s="46"/>
      <c r="AS120" s="46"/>
      <c r="AT120" s="46"/>
      <c r="AU120" s="46"/>
      <c r="AV120" s="46"/>
      <c r="AW120" s="46"/>
      <c r="AX120" s="46"/>
      <c r="AY120" s="46"/>
      <c r="AZ120" s="46"/>
      <c r="BA120" s="46"/>
      <c r="BB120" s="46"/>
      <c r="BC120" s="46"/>
      <c r="BD120" s="46"/>
      <c r="BE120" s="46"/>
    </row>
    <row r="121" spans="1:57" x14ac:dyDescent="0.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50"/>
      <c r="AL121" s="47"/>
      <c r="AM121" s="46"/>
      <c r="AN121" s="46"/>
      <c r="AO121" s="46"/>
      <c r="AP121" s="46"/>
      <c r="AQ121" s="46"/>
      <c r="AR121" s="46"/>
      <c r="AS121" s="46"/>
      <c r="AT121" s="46"/>
      <c r="AU121" s="46"/>
      <c r="AV121" s="46"/>
      <c r="AW121" s="46"/>
      <c r="AX121" s="46"/>
      <c r="AY121" s="46"/>
      <c r="AZ121" s="46"/>
      <c r="BA121" s="46"/>
      <c r="BB121" s="46"/>
      <c r="BC121" s="46"/>
      <c r="BD121" s="46"/>
      <c r="BE121" s="46"/>
    </row>
    <row r="122" spans="1:57" x14ac:dyDescent="0.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50"/>
      <c r="AL122" s="47"/>
      <c r="AM122" s="46"/>
      <c r="AN122" s="46"/>
      <c r="AO122" s="46"/>
      <c r="AP122" s="46"/>
      <c r="AQ122" s="46"/>
      <c r="AR122" s="46"/>
      <c r="AS122" s="46"/>
      <c r="AT122" s="46"/>
      <c r="AU122" s="46"/>
      <c r="AV122" s="46"/>
      <c r="AW122" s="46"/>
      <c r="AX122" s="46"/>
      <c r="AY122" s="46"/>
      <c r="AZ122" s="46"/>
      <c r="BA122" s="46"/>
      <c r="BB122" s="46"/>
      <c r="BC122" s="46"/>
      <c r="BD122" s="46"/>
      <c r="BE122" s="46"/>
    </row>
    <row r="123" spans="1:57" x14ac:dyDescent="0.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50"/>
      <c r="AL123" s="47"/>
      <c r="AM123" s="46"/>
      <c r="AN123" s="46"/>
      <c r="AO123" s="46"/>
      <c r="AP123" s="46"/>
      <c r="AQ123" s="46"/>
      <c r="AR123" s="46"/>
      <c r="AS123" s="46"/>
      <c r="AT123" s="46"/>
      <c r="AU123" s="46"/>
      <c r="AV123" s="46"/>
      <c r="AW123" s="46"/>
      <c r="AX123" s="46"/>
      <c r="AY123" s="46"/>
      <c r="AZ123" s="46"/>
      <c r="BA123" s="46"/>
      <c r="BB123" s="46"/>
      <c r="BC123" s="46"/>
      <c r="BD123" s="46"/>
      <c r="BE123" s="46"/>
    </row>
    <row r="124" spans="1:57" x14ac:dyDescent="0.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50"/>
      <c r="AL124" s="47"/>
      <c r="AM124" s="46"/>
      <c r="AN124" s="46"/>
      <c r="AO124" s="46"/>
      <c r="AP124" s="46"/>
      <c r="AQ124" s="46"/>
      <c r="AR124" s="46"/>
      <c r="AS124" s="46"/>
      <c r="AT124" s="46"/>
      <c r="AU124" s="46"/>
      <c r="AV124" s="46"/>
      <c r="AW124" s="46"/>
      <c r="AX124" s="46"/>
      <c r="AY124" s="46"/>
      <c r="AZ124" s="46"/>
      <c r="BA124" s="46"/>
      <c r="BB124" s="46"/>
      <c r="BC124" s="46"/>
      <c r="BD124" s="46"/>
      <c r="BE124" s="46"/>
    </row>
    <row r="125" spans="1:57" x14ac:dyDescent="0.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50"/>
      <c r="AL125" s="47"/>
      <c r="AM125" s="46"/>
      <c r="AN125" s="46"/>
      <c r="AO125" s="46"/>
      <c r="AP125" s="46"/>
      <c r="AQ125" s="46"/>
      <c r="AR125" s="46"/>
      <c r="AS125" s="46"/>
      <c r="AT125" s="46"/>
      <c r="AU125" s="46"/>
      <c r="AV125" s="46"/>
      <c r="AW125" s="46"/>
      <c r="AX125" s="46"/>
      <c r="AY125" s="46"/>
      <c r="AZ125" s="46"/>
      <c r="BA125" s="46"/>
      <c r="BB125" s="46"/>
      <c r="BC125" s="46"/>
      <c r="BD125" s="46"/>
      <c r="BE125" s="46"/>
    </row>
    <row r="126" spans="1:57" x14ac:dyDescent="0.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50"/>
      <c r="AL126" s="47"/>
      <c r="AM126" s="46"/>
      <c r="AN126" s="46"/>
      <c r="AO126" s="46"/>
      <c r="AP126" s="46"/>
      <c r="AQ126" s="46"/>
      <c r="AR126" s="46"/>
      <c r="AS126" s="46"/>
      <c r="AT126" s="46"/>
      <c r="AU126" s="46"/>
      <c r="AV126" s="46"/>
      <c r="AW126" s="46"/>
      <c r="AX126" s="46"/>
      <c r="AY126" s="46"/>
      <c r="AZ126" s="46"/>
      <c r="BA126" s="46"/>
      <c r="BB126" s="46"/>
      <c r="BC126" s="46"/>
      <c r="BD126" s="46"/>
      <c r="BE126" s="46"/>
    </row>
    <row r="127" spans="1:57" x14ac:dyDescent="0.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50"/>
      <c r="AL127" s="47"/>
      <c r="AM127" s="46"/>
      <c r="AN127" s="46"/>
      <c r="AO127" s="46"/>
      <c r="AP127" s="46"/>
      <c r="AQ127" s="46"/>
      <c r="AR127" s="46"/>
      <c r="AS127" s="46"/>
      <c r="AT127" s="46"/>
      <c r="AU127" s="46"/>
      <c r="AV127" s="46"/>
      <c r="AW127" s="46"/>
      <c r="AX127" s="46"/>
      <c r="AY127" s="46"/>
      <c r="AZ127" s="46"/>
      <c r="BA127" s="46"/>
      <c r="BB127" s="46"/>
      <c r="BC127" s="46"/>
      <c r="BD127" s="46"/>
      <c r="BE127" s="46"/>
    </row>
    <row r="128" spans="1:57" x14ac:dyDescent="0.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50"/>
      <c r="AL128" s="47"/>
      <c r="AM128" s="46"/>
      <c r="AN128" s="46"/>
      <c r="AO128" s="46"/>
      <c r="AP128" s="46"/>
      <c r="AQ128" s="46"/>
      <c r="AR128" s="46"/>
      <c r="AS128" s="46"/>
      <c r="AT128" s="46"/>
      <c r="AU128" s="46"/>
      <c r="AV128" s="46"/>
      <c r="AW128" s="46"/>
      <c r="AX128" s="46"/>
      <c r="AY128" s="46"/>
      <c r="AZ128" s="46"/>
      <c r="BA128" s="46"/>
      <c r="BB128" s="46"/>
      <c r="BC128" s="46"/>
      <c r="BD128" s="46"/>
      <c r="BE128" s="46"/>
    </row>
    <row r="129" spans="1:57" x14ac:dyDescent="0.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50"/>
      <c r="AL129" s="47"/>
      <c r="AM129" s="46"/>
      <c r="AN129" s="46"/>
      <c r="AO129" s="46"/>
      <c r="AP129" s="46"/>
      <c r="AQ129" s="46"/>
      <c r="AR129" s="46"/>
      <c r="AS129" s="46"/>
      <c r="AT129" s="46"/>
      <c r="AU129" s="46"/>
      <c r="AV129" s="46"/>
      <c r="AW129" s="46"/>
      <c r="AX129" s="46"/>
      <c r="AY129" s="46"/>
      <c r="AZ129" s="46"/>
      <c r="BA129" s="46"/>
      <c r="BB129" s="46"/>
      <c r="BC129" s="46"/>
      <c r="BD129" s="46"/>
      <c r="BE129" s="46"/>
    </row>
    <row r="130" spans="1:57" x14ac:dyDescent="0.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50"/>
      <c r="AL130" s="47"/>
      <c r="AM130" s="46"/>
      <c r="AN130" s="46"/>
      <c r="AO130" s="46"/>
      <c r="AP130" s="46"/>
      <c r="AQ130" s="46"/>
      <c r="AR130" s="46"/>
      <c r="AS130" s="46"/>
      <c r="AT130" s="46"/>
      <c r="AU130" s="46"/>
      <c r="AV130" s="46"/>
      <c r="AW130" s="46"/>
      <c r="AX130" s="46"/>
      <c r="AY130" s="46"/>
      <c r="AZ130" s="46"/>
      <c r="BA130" s="46"/>
      <c r="BB130" s="46"/>
      <c r="BC130" s="46"/>
      <c r="BD130" s="46"/>
      <c r="BE130" s="46"/>
    </row>
    <row r="131" spans="1:57" x14ac:dyDescent="0.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50"/>
      <c r="AL131" s="47"/>
      <c r="AM131" s="46"/>
      <c r="AN131" s="46"/>
      <c r="AO131" s="46"/>
      <c r="AP131" s="46"/>
      <c r="AQ131" s="46"/>
      <c r="AR131" s="46"/>
      <c r="AS131" s="46"/>
      <c r="AT131" s="46"/>
      <c r="AU131" s="46"/>
      <c r="AV131" s="46"/>
      <c r="AW131" s="46"/>
      <c r="AX131" s="46"/>
      <c r="AY131" s="46"/>
      <c r="AZ131" s="46"/>
      <c r="BA131" s="46"/>
      <c r="BB131" s="46"/>
      <c r="BC131" s="46"/>
      <c r="BD131" s="46"/>
      <c r="BE131" s="46"/>
    </row>
    <row r="132" spans="1:57" x14ac:dyDescent="0.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50"/>
      <c r="AL132" s="47"/>
      <c r="AM132" s="46"/>
      <c r="AN132" s="46"/>
      <c r="AO132" s="46"/>
      <c r="AP132" s="46"/>
      <c r="AQ132" s="46"/>
      <c r="AR132" s="46"/>
      <c r="AS132" s="46"/>
      <c r="AT132" s="46"/>
      <c r="AU132" s="46"/>
      <c r="AV132" s="46"/>
      <c r="AW132" s="46"/>
      <c r="AX132" s="46"/>
      <c r="AY132" s="46"/>
      <c r="AZ132" s="46"/>
      <c r="BA132" s="46"/>
      <c r="BB132" s="46"/>
      <c r="BC132" s="46"/>
      <c r="BD132" s="46"/>
      <c r="BE132" s="46"/>
    </row>
    <row r="133" spans="1:57" x14ac:dyDescent="0.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50"/>
      <c r="AL133" s="47"/>
      <c r="AM133" s="46"/>
      <c r="AN133" s="46"/>
      <c r="AO133" s="46"/>
      <c r="AP133" s="46"/>
      <c r="AQ133" s="46"/>
      <c r="AR133" s="46"/>
      <c r="AS133" s="46"/>
      <c r="AT133" s="46"/>
      <c r="AU133" s="46"/>
      <c r="AV133" s="46"/>
      <c r="AW133" s="46"/>
      <c r="AX133" s="46"/>
      <c r="AY133" s="46"/>
      <c r="AZ133" s="46"/>
      <c r="BA133" s="46"/>
      <c r="BB133" s="46"/>
      <c r="BC133" s="46"/>
      <c r="BD133" s="46"/>
      <c r="BE133" s="46"/>
    </row>
    <row r="134" spans="1:57" x14ac:dyDescent="0.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50"/>
      <c r="AL134" s="47"/>
      <c r="AM134" s="46"/>
      <c r="AN134" s="46"/>
      <c r="AO134" s="46"/>
      <c r="AP134" s="46"/>
      <c r="AQ134" s="46"/>
      <c r="AR134" s="46"/>
      <c r="AS134" s="46"/>
      <c r="AT134" s="46"/>
      <c r="AU134" s="46"/>
      <c r="AV134" s="46"/>
      <c r="AW134" s="46"/>
      <c r="AX134" s="46"/>
      <c r="AY134" s="46"/>
      <c r="AZ134" s="46"/>
      <c r="BA134" s="46"/>
      <c r="BB134" s="46"/>
      <c r="BC134" s="46"/>
      <c r="BD134" s="46"/>
      <c r="BE134" s="46"/>
    </row>
    <row r="135" spans="1:57" x14ac:dyDescent="0.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50"/>
      <c r="AL135" s="47"/>
      <c r="AM135" s="46"/>
      <c r="AN135" s="46"/>
      <c r="AO135" s="46"/>
      <c r="AP135" s="46"/>
      <c r="AQ135" s="46"/>
      <c r="AR135" s="46"/>
      <c r="AS135" s="46"/>
      <c r="AT135" s="46"/>
      <c r="AU135" s="46"/>
      <c r="AV135" s="46"/>
      <c r="AW135" s="46"/>
      <c r="AX135" s="46"/>
      <c r="AY135" s="46"/>
      <c r="AZ135" s="46"/>
      <c r="BA135" s="46"/>
      <c r="BB135" s="46"/>
      <c r="BC135" s="46"/>
      <c r="BD135" s="46"/>
      <c r="BE135" s="46"/>
    </row>
    <row r="136" spans="1:57" x14ac:dyDescent="0.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50"/>
      <c r="AL136" s="47"/>
      <c r="AM136" s="46"/>
      <c r="AN136" s="46"/>
      <c r="AO136" s="46"/>
      <c r="AP136" s="46"/>
      <c r="AQ136" s="46"/>
      <c r="AR136" s="46"/>
      <c r="AS136" s="46"/>
      <c r="AT136" s="46"/>
      <c r="AU136" s="46"/>
      <c r="AV136" s="46"/>
      <c r="AW136" s="46"/>
      <c r="AX136" s="46"/>
      <c r="AY136" s="46"/>
      <c r="AZ136" s="46"/>
      <c r="BA136" s="46"/>
      <c r="BB136" s="46"/>
      <c r="BC136" s="46"/>
      <c r="BD136" s="46"/>
      <c r="BE136" s="46"/>
    </row>
    <row r="137" spans="1:57" x14ac:dyDescent="0.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50"/>
      <c r="AL137" s="47"/>
      <c r="AM137" s="46"/>
      <c r="AN137" s="46"/>
      <c r="AO137" s="46"/>
      <c r="AP137" s="46"/>
      <c r="AQ137" s="46"/>
      <c r="AR137" s="46"/>
      <c r="AS137" s="46"/>
      <c r="AT137" s="46"/>
      <c r="AU137" s="46"/>
      <c r="AV137" s="46"/>
      <c r="AW137" s="46"/>
      <c r="AX137" s="46"/>
      <c r="AY137" s="46"/>
      <c r="AZ137" s="46"/>
      <c r="BA137" s="46"/>
      <c r="BB137" s="46"/>
      <c r="BC137" s="46"/>
      <c r="BD137" s="46"/>
      <c r="BE137" s="46"/>
    </row>
    <row r="138" spans="1:57" x14ac:dyDescent="0.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50"/>
      <c r="AL138" s="47"/>
      <c r="AM138" s="46"/>
      <c r="AN138" s="46"/>
      <c r="AO138" s="46"/>
      <c r="AP138" s="46"/>
      <c r="AQ138" s="46"/>
      <c r="AR138" s="46"/>
      <c r="AS138" s="46"/>
      <c r="AT138" s="46"/>
      <c r="AU138" s="46"/>
      <c r="AV138" s="46"/>
      <c r="AW138" s="46"/>
      <c r="AX138" s="46"/>
      <c r="AY138" s="46"/>
      <c r="AZ138" s="46"/>
      <c r="BA138" s="46"/>
      <c r="BB138" s="46"/>
      <c r="BC138" s="46"/>
      <c r="BD138" s="46"/>
      <c r="BE138" s="46"/>
    </row>
    <row r="139" spans="1:57" x14ac:dyDescent="0.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50"/>
      <c r="AL139" s="47"/>
      <c r="AM139" s="46"/>
      <c r="AN139" s="46"/>
      <c r="AO139" s="46"/>
      <c r="AP139" s="46"/>
      <c r="AQ139" s="46"/>
      <c r="AR139" s="46"/>
      <c r="AS139" s="46"/>
      <c r="AT139" s="46"/>
      <c r="AU139" s="46"/>
      <c r="AV139" s="46"/>
      <c r="AW139" s="46"/>
      <c r="AX139" s="46"/>
      <c r="AY139" s="46"/>
      <c r="AZ139" s="46"/>
      <c r="BA139" s="46"/>
      <c r="BB139" s="46"/>
      <c r="BC139" s="46"/>
      <c r="BD139" s="46"/>
      <c r="BE139" s="46"/>
    </row>
    <row r="140" spans="1:57" x14ac:dyDescent="0.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c r="AA140" s="46"/>
      <c r="AB140" s="46"/>
      <c r="AC140" s="46"/>
      <c r="AD140" s="46"/>
      <c r="AE140" s="46"/>
      <c r="AF140" s="46"/>
      <c r="AG140" s="46"/>
      <c r="AH140" s="46"/>
      <c r="AI140" s="46"/>
      <c r="AJ140" s="46"/>
      <c r="AK140" s="50"/>
      <c r="AL140" s="47"/>
      <c r="AM140" s="46"/>
      <c r="AN140" s="46"/>
      <c r="AO140" s="46"/>
      <c r="AP140" s="46"/>
      <c r="AQ140" s="46"/>
      <c r="AR140" s="46"/>
      <c r="AS140" s="46"/>
      <c r="AT140" s="46"/>
      <c r="AU140" s="46"/>
      <c r="AV140" s="46"/>
      <c r="AW140" s="46"/>
      <c r="AX140" s="46"/>
      <c r="AY140" s="46"/>
      <c r="AZ140" s="46"/>
      <c r="BA140" s="46"/>
      <c r="BB140" s="46"/>
      <c r="BC140" s="46"/>
      <c r="BD140" s="46"/>
      <c r="BE140" s="46"/>
    </row>
    <row r="141" spans="1:57" x14ac:dyDescent="0.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50"/>
      <c r="AL141" s="47"/>
      <c r="AM141" s="46"/>
      <c r="AN141" s="46"/>
      <c r="AO141" s="46"/>
      <c r="AP141" s="46"/>
      <c r="AQ141" s="46"/>
      <c r="AR141" s="46"/>
      <c r="AS141" s="46"/>
      <c r="AT141" s="46"/>
      <c r="AU141" s="46"/>
      <c r="AV141" s="46"/>
      <c r="AW141" s="46"/>
      <c r="AX141" s="46"/>
      <c r="AY141" s="46"/>
      <c r="AZ141" s="46"/>
      <c r="BA141" s="46"/>
      <c r="BB141" s="46"/>
      <c r="BC141" s="46"/>
      <c r="BD141" s="46"/>
      <c r="BE141" s="46"/>
    </row>
    <row r="142" spans="1:57" x14ac:dyDescent="0.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50"/>
      <c r="AL142" s="47"/>
      <c r="AM142" s="46"/>
      <c r="AN142" s="46"/>
      <c r="AO142" s="46"/>
      <c r="AP142" s="46"/>
      <c r="AQ142" s="46"/>
      <c r="AR142" s="46"/>
      <c r="AS142" s="46"/>
      <c r="AT142" s="46"/>
      <c r="AU142" s="46"/>
      <c r="AV142" s="46"/>
      <c r="AW142" s="46"/>
      <c r="AX142" s="46"/>
      <c r="AY142" s="46"/>
      <c r="AZ142" s="46"/>
      <c r="BA142" s="46"/>
      <c r="BB142" s="46"/>
      <c r="BC142" s="46"/>
      <c r="BD142" s="46"/>
      <c r="BE142" s="46"/>
    </row>
    <row r="143" spans="1:57" x14ac:dyDescent="0.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50"/>
      <c r="AL143" s="47"/>
      <c r="AM143" s="46"/>
      <c r="AN143" s="46"/>
      <c r="AO143" s="46"/>
      <c r="AP143" s="46"/>
      <c r="AQ143" s="46"/>
      <c r="AR143" s="46"/>
      <c r="AS143" s="46"/>
      <c r="AT143" s="46"/>
      <c r="AU143" s="46"/>
      <c r="AV143" s="46"/>
      <c r="AW143" s="46"/>
      <c r="AX143" s="46"/>
      <c r="AY143" s="46"/>
      <c r="AZ143" s="46"/>
      <c r="BA143" s="46"/>
      <c r="BB143" s="46"/>
      <c r="BC143" s="46"/>
      <c r="BD143" s="46"/>
      <c r="BE143" s="46"/>
    </row>
    <row r="144" spans="1:57" x14ac:dyDescent="0.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c r="AA144" s="46"/>
      <c r="AB144" s="46"/>
      <c r="AC144" s="46"/>
      <c r="AD144" s="46"/>
      <c r="AE144" s="46"/>
      <c r="AF144" s="46"/>
      <c r="AG144" s="46"/>
      <c r="AH144" s="46"/>
      <c r="AI144" s="46"/>
      <c r="AJ144" s="46"/>
      <c r="AK144" s="50"/>
      <c r="AL144" s="47"/>
      <c r="AM144" s="46"/>
      <c r="AN144" s="46"/>
      <c r="AO144" s="46"/>
      <c r="AP144" s="46"/>
      <c r="AQ144" s="46"/>
      <c r="AR144" s="46"/>
      <c r="AS144" s="46"/>
      <c r="AT144" s="46"/>
      <c r="AU144" s="46"/>
      <c r="AV144" s="46"/>
      <c r="AW144" s="46"/>
      <c r="AX144" s="46"/>
      <c r="AY144" s="46"/>
      <c r="AZ144" s="46"/>
      <c r="BA144" s="46"/>
      <c r="BB144" s="46"/>
      <c r="BC144" s="46"/>
      <c r="BD144" s="46"/>
      <c r="BE144" s="46"/>
    </row>
    <row r="145" spans="1:57" x14ac:dyDescent="0.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c r="AA145" s="46"/>
      <c r="AB145" s="46"/>
      <c r="AC145" s="46"/>
      <c r="AD145" s="46"/>
      <c r="AE145" s="46"/>
      <c r="AF145" s="46"/>
      <c r="AG145" s="46"/>
      <c r="AH145" s="46"/>
      <c r="AI145" s="46"/>
      <c r="AJ145" s="46"/>
      <c r="AK145" s="50"/>
      <c r="AL145" s="47"/>
      <c r="AM145" s="46"/>
      <c r="AN145" s="46"/>
      <c r="AO145" s="46"/>
      <c r="AP145" s="46"/>
      <c r="AQ145" s="46"/>
      <c r="AR145" s="46"/>
      <c r="AS145" s="46"/>
      <c r="AT145" s="46"/>
      <c r="AU145" s="46"/>
      <c r="AV145" s="46"/>
      <c r="AW145" s="46"/>
      <c r="AX145" s="46"/>
      <c r="AY145" s="46"/>
      <c r="AZ145" s="46"/>
      <c r="BA145" s="46"/>
      <c r="BB145" s="46"/>
      <c r="BC145" s="46"/>
      <c r="BD145" s="46"/>
      <c r="BE145" s="46"/>
    </row>
    <row r="146" spans="1:57" x14ac:dyDescent="0.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50"/>
      <c r="AL146" s="47"/>
      <c r="AM146" s="46"/>
      <c r="AN146" s="46"/>
      <c r="AO146" s="46"/>
      <c r="AP146" s="46"/>
      <c r="AQ146" s="46"/>
      <c r="AR146" s="46"/>
      <c r="AS146" s="46"/>
      <c r="AT146" s="46"/>
      <c r="AU146" s="46"/>
      <c r="AV146" s="46"/>
      <c r="AW146" s="46"/>
      <c r="AX146" s="46"/>
      <c r="AY146" s="46"/>
      <c r="AZ146" s="46"/>
      <c r="BA146" s="46"/>
      <c r="BB146" s="46"/>
      <c r="BC146" s="46"/>
      <c r="BD146" s="46"/>
      <c r="BE146" s="46"/>
    </row>
    <row r="147" spans="1:57" x14ac:dyDescent="0.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50"/>
      <c r="AL147" s="47"/>
      <c r="AM147" s="46"/>
      <c r="AN147" s="46"/>
      <c r="AO147" s="46"/>
      <c r="AP147" s="46"/>
      <c r="AQ147" s="46"/>
      <c r="AR147" s="46"/>
      <c r="AS147" s="46"/>
      <c r="AT147" s="46"/>
      <c r="AU147" s="46"/>
      <c r="AV147" s="46"/>
      <c r="AW147" s="46"/>
      <c r="AX147" s="46"/>
      <c r="AY147" s="46"/>
      <c r="AZ147" s="46"/>
      <c r="BA147" s="46"/>
      <c r="BB147" s="46"/>
      <c r="BC147" s="46"/>
      <c r="BD147" s="46"/>
      <c r="BE147" s="46"/>
    </row>
    <row r="148" spans="1:57" x14ac:dyDescent="0.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50"/>
      <c r="AL148" s="47"/>
      <c r="AM148" s="46"/>
      <c r="AN148" s="46"/>
      <c r="AO148" s="46"/>
      <c r="AP148" s="46"/>
      <c r="AQ148" s="46"/>
      <c r="AR148" s="46"/>
      <c r="AS148" s="46"/>
      <c r="AT148" s="46"/>
      <c r="AU148" s="46"/>
      <c r="AV148" s="46"/>
      <c r="AW148" s="46"/>
      <c r="AX148" s="46"/>
      <c r="AY148" s="46"/>
      <c r="AZ148" s="46"/>
      <c r="BA148" s="46"/>
      <c r="BB148" s="46"/>
      <c r="BC148" s="46"/>
      <c r="BD148" s="46"/>
      <c r="BE148" s="46"/>
    </row>
    <row r="149" spans="1:57" x14ac:dyDescent="0.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50"/>
      <c r="AL149" s="47"/>
      <c r="AM149" s="46"/>
      <c r="AN149" s="46"/>
      <c r="AO149" s="46"/>
      <c r="AP149" s="46"/>
      <c r="AQ149" s="46"/>
      <c r="AR149" s="46"/>
      <c r="AS149" s="46"/>
      <c r="AT149" s="46"/>
      <c r="AU149" s="46"/>
      <c r="AV149" s="46"/>
      <c r="AW149" s="46"/>
      <c r="AX149" s="46"/>
      <c r="AY149" s="46"/>
      <c r="AZ149" s="46"/>
      <c r="BA149" s="46"/>
      <c r="BB149" s="46"/>
      <c r="BC149" s="46"/>
      <c r="BD149" s="46"/>
      <c r="BE149" s="46"/>
    </row>
    <row r="150" spans="1:57" x14ac:dyDescent="0.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c r="AA150" s="46"/>
      <c r="AB150" s="46"/>
      <c r="AC150" s="46"/>
      <c r="AD150" s="46"/>
      <c r="AE150" s="46"/>
      <c r="AF150" s="46"/>
      <c r="AG150" s="46"/>
      <c r="AH150" s="46"/>
      <c r="AI150" s="46"/>
      <c r="AJ150" s="46"/>
      <c r="AK150" s="50"/>
      <c r="AL150" s="47"/>
      <c r="AM150" s="46"/>
      <c r="AN150" s="46"/>
      <c r="AO150" s="46"/>
      <c r="AP150" s="46"/>
      <c r="AQ150" s="46"/>
      <c r="AR150" s="46"/>
      <c r="AS150" s="46"/>
      <c r="AT150" s="46"/>
      <c r="AU150" s="46"/>
      <c r="AV150" s="46"/>
      <c r="AW150" s="46"/>
      <c r="AX150" s="46"/>
      <c r="AY150" s="46"/>
      <c r="AZ150" s="46"/>
      <c r="BA150" s="46"/>
      <c r="BB150" s="46"/>
      <c r="BC150" s="46"/>
      <c r="BD150" s="46"/>
      <c r="BE150" s="46"/>
    </row>
    <row r="151" spans="1:57" x14ac:dyDescent="0.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c r="AA151" s="46"/>
      <c r="AB151" s="46"/>
      <c r="AC151" s="46"/>
      <c r="AD151" s="46"/>
      <c r="AE151" s="46"/>
      <c r="AF151" s="46"/>
      <c r="AG151" s="46"/>
      <c r="AH151" s="46"/>
      <c r="AI151" s="46"/>
      <c r="AJ151" s="46"/>
      <c r="AK151" s="50"/>
      <c r="AL151" s="47"/>
      <c r="AM151" s="46"/>
      <c r="AN151" s="46"/>
      <c r="AO151" s="46"/>
      <c r="AP151" s="46"/>
      <c r="AQ151" s="46"/>
      <c r="AR151" s="46"/>
      <c r="AS151" s="46"/>
      <c r="AT151" s="46"/>
      <c r="AU151" s="46"/>
      <c r="AV151" s="46"/>
      <c r="AW151" s="46"/>
      <c r="AX151" s="46"/>
      <c r="AY151" s="46"/>
      <c r="AZ151" s="46"/>
      <c r="BA151" s="46"/>
      <c r="BB151" s="46"/>
      <c r="BC151" s="46"/>
      <c r="BD151" s="46"/>
      <c r="BE151" s="46"/>
    </row>
    <row r="152" spans="1:57" x14ac:dyDescent="0.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c r="AA152" s="46"/>
      <c r="AB152" s="46"/>
      <c r="AC152" s="46"/>
      <c r="AD152" s="46"/>
      <c r="AE152" s="46"/>
      <c r="AF152" s="46"/>
      <c r="AG152" s="46"/>
      <c r="AH152" s="46"/>
      <c r="AI152" s="46"/>
      <c r="AJ152" s="46"/>
      <c r="AK152" s="50"/>
      <c r="AL152" s="47"/>
      <c r="AM152" s="46"/>
      <c r="AN152" s="46"/>
      <c r="AO152" s="46"/>
      <c r="AP152" s="46"/>
      <c r="AQ152" s="46"/>
      <c r="AR152" s="46"/>
      <c r="AS152" s="46"/>
      <c r="AT152" s="46"/>
      <c r="AU152" s="46"/>
      <c r="AV152" s="46"/>
      <c r="AW152" s="46"/>
      <c r="AX152" s="46"/>
      <c r="AY152" s="46"/>
      <c r="AZ152" s="46"/>
      <c r="BA152" s="46"/>
      <c r="BB152" s="46"/>
      <c r="BC152" s="46"/>
      <c r="BD152" s="46"/>
      <c r="BE152" s="46"/>
    </row>
    <row r="153" spans="1:57" x14ac:dyDescent="0.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c r="AA153" s="46"/>
      <c r="AB153" s="46"/>
      <c r="AC153" s="46"/>
      <c r="AD153" s="46"/>
      <c r="AE153" s="46"/>
      <c r="AF153" s="46"/>
      <c r="AG153" s="46"/>
      <c r="AH153" s="46"/>
      <c r="AI153" s="46"/>
      <c r="AJ153" s="46"/>
      <c r="AK153" s="50"/>
      <c r="AL153" s="47"/>
      <c r="AM153" s="46"/>
      <c r="AN153" s="46"/>
      <c r="AO153" s="46"/>
      <c r="AP153" s="46"/>
      <c r="AQ153" s="46"/>
      <c r="AR153" s="46"/>
      <c r="AS153" s="46"/>
      <c r="AT153" s="46"/>
      <c r="AU153" s="46"/>
      <c r="AV153" s="46"/>
      <c r="AW153" s="46"/>
      <c r="AX153" s="46"/>
      <c r="AY153" s="46"/>
      <c r="AZ153" s="46"/>
      <c r="BA153" s="46"/>
      <c r="BB153" s="46"/>
      <c r="BC153" s="46"/>
      <c r="BD153" s="46"/>
      <c r="BE153" s="46"/>
    </row>
    <row r="154" spans="1:57" x14ac:dyDescent="0.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50"/>
      <c r="AL154" s="47"/>
      <c r="AM154" s="46"/>
      <c r="AN154" s="46"/>
      <c r="AO154" s="46"/>
      <c r="AP154" s="46"/>
      <c r="AQ154" s="46"/>
      <c r="AR154" s="46"/>
      <c r="AS154" s="46"/>
      <c r="AT154" s="46"/>
      <c r="AU154" s="46"/>
      <c r="AV154" s="46"/>
      <c r="AW154" s="46"/>
      <c r="AX154" s="46"/>
      <c r="AY154" s="46"/>
      <c r="AZ154" s="46"/>
      <c r="BA154" s="46"/>
      <c r="BB154" s="46"/>
      <c r="BC154" s="46"/>
      <c r="BD154" s="46"/>
      <c r="BE154" s="46"/>
    </row>
    <row r="155" spans="1:57" x14ac:dyDescent="0.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50"/>
      <c r="AL155" s="47"/>
      <c r="AM155" s="46"/>
      <c r="AN155" s="46"/>
      <c r="AO155" s="46"/>
      <c r="AP155" s="46"/>
      <c r="AQ155" s="46"/>
      <c r="AR155" s="46"/>
      <c r="AS155" s="46"/>
      <c r="AT155" s="46"/>
      <c r="AU155" s="46"/>
      <c r="AV155" s="46"/>
      <c r="AW155" s="46"/>
      <c r="AX155" s="46"/>
      <c r="AY155" s="46"/>
      <c r="AZ155" s="46"/>
      <c r="BA155" s="46"/>
      <c r="BB155" s="46"/>
      <c r="BC155" s="46"/>
      <c r="BD155" s="46"/>
      <c r="BE155" s="46"/>
    </row>
    <row r="156" spans="1:57" x14ac:dyDescent="0.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50"/>
      <c r="AL156" s="47"/>
      <c r="AM156" s="46"/>
      <c r="AN156" s="46"/>
      <c r="AO156" s="46"/>
      <c r="AP156" s="46"/>
      <c r="AQ156" s="46"/>
      <c r="AR156" s="46"/>
      <c r="AS156" s="46"/>
      <c r="AT156" s="46"/>
      <c r="AU156" s="46"/>
      <c r="AV156" s="46"/>
      <c r="AW156" s="46"/>
      <c r="AX156" s="46"/>
      <c r="AY156" s="46"/>
      <c r="AZ156" s="46"/>
      <c r="BA156" s="46"/>
      <c r="BB156" s="46"/>
      <c r="BC156" s="46"/>
      <c r="BD156" s="46"/>
      <c r="BE156" s="46"/>
    </row>
    <row r="157" spans="1:57" x14ac:dyDescent="0.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50"/>
      <c r="AL157" s="47"/>
      <c r="AM157" s="46"/>
      <c r="AN157" s="46"/>
      <c r="AO157" s="46"/>
      <c r="AP157" s="46"/>
      <c r="AQ157" s="46"/>
      <c r="AR157" s="46"/>
      <c r="AS157" s="46"/>
      <c r="AT157" s="46"/>
      <c r="AU157" s="46"/>
      <c r="AV157" s="46"/>
      <c r="AW157" s="46"/>
      <c r="AX157" s="46"/>
      <c r="AY157" s="46"/>
      <c r="AZ157" s="46"/>
      <c r="BA157" s="46"/>
      <c r="BB157" s="46"/>
      <c r="BC157" s="46"/>
      <c r="BD157" s="46"/>
      <c r="BE157" s="46"/>
    </row>
    <row r="158" spans="1:57" x14ac:dyDescent="0.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50"/>
      <c r="AL158" s="47"/>
      <c r="AM158" s="46"/>
      <c r="AN158" s="46"/>
      <c r="AO158" s="46"/>
      <c r="AP158" s="46"/>
      <c r="AQ158" s="46"/>
      <c r="AR158" s="46"/>
      <c r="AS158" s="46"/>
      <c r="AT158" s="46"/>
      <c r="AU158" s="46"/>
      <c r="AV158" s="46"/>
      <c r="AW158" s="46"/>
      <c r="AX158" s="46"/>
      <c r="AY158" s="46"/>
      <c r="AZ158" s="46"/>
      <c r="BA158" s="46"/>
      <c r="BB158" s="46"/>
      <c r="BC158" s="46"/>
      <c r="BD158" s="46"/>
      <c r="BE158" s="46"/>
    </row>
    <row r="159" spans="1:57" x14ac:dyDescent="0.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c r="AA159" s="46"/>
      <c r="AB159" s="46"/>
      <c r="AC159" s="46"/>
      <c r="AD159" s="46"/>
      <c r="AE159" s="46"/>
      <c r="AF159" s="46"/>
      <c r="AG159" s="46"/>
      <c r="AH159" s="46"/>
      <c r="AI159" s="46"/>
      <c r="AJ159" s="46"/>
      <c r="AK159" s="50"/>
      <c r="AL159" s="47"/>
      <c r="AM159" s="46"/>
      <c r="AN159" s="46"/>
      <c r="AO159" s="46"/>
      <c r="AP159" s="46"/>
      <c r="AQ159" s="46"/>
      <c r="AR159" s="46"/>
      <c r="AS159" s="46"/>
      <c r="AT159" s="46"/>
      <c r="AU159" s="46"/>
      <c r="AV159" s="46"/>
      <c r="AW159" s="46"/>
      <c r="AX159" s="46"/>
      <c r="AY159" s="46"/>
      <c r="AZ159" s="46"/>
      <c r="BA159" s="46"/>
      <c r="BB159" s="46"/>
      <c r="BC159" s="46"/>
      <c r="BD159" s="46"/>
      <c r="BE159" s="46"/>
    </row>
    <row r="160" spans="1:57" x14ac:dyDescent="0.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c r="AA160" s="46"/>
      <c r="AB160" s="46"/>
      <c r="AC160" s="46"/>
      <c r="AD160" s="46"/>
      <c r="AE160" s="46"/>
      <c r="AF160" s="46"/>
      <c r="AG160" s="46"/>
      <c r="AH160" s="46"/>
      <c r="AI160" s="46"/>
      <c r="AJ160" s="46"/>
      <c r="AK160" s="50"/>
      <c r="AL160" s="47"/>
      <c r="AM160" s="46"/>
      <c r="AN160" s="46"/>
      <c r="AO160" s="46"/>
      <c r="AP160" s="46"/>
      <c r="AQ160" s="46"/>
      <c r="AR160" s="46"/>
      <c r="AS160" s="46"/>
      <c r="AT160" s="46"/>
      <c r="AU160" s="46"/>
      <c r="AV160" s="46"/>
      <c r="AW160" s="46"/>
      <c r="AX160" s="46"/>
      <c r="AY160" s="46"/>
      <c r="AZ160" s="46"/>
      <c r="BA160" s="46"/>
      <c r="BB160" s="46"/>
      <c r="BC160" s="46"/>
      <c r="BD160" s="46"/>
      <c r="BE160" s="46"/>
    </row>
    <row r="161" spans="1:57" x14ac:dyDescent="0.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c r="AA161" s="46"/>
      <c r="AB161" s="46"/>
      <c r="AC161" s="46"/>
      <c r="AD161" s="46"/>
      <c r="AE161" s="46"/>
      <c r="AF161" s="46"/>
      <c r="AG161" s="46"/>
      <c r="AH161" s="46"/>
      <c r="AI161" s="46"/>
      <c r="AJ161" s="46"/>
      <c r="AK161" s="50"/>
      <c r="AL161" s="47"/>
      <c r="AM161" s="46"/>
      <c r="AN161" s="46"/>
      <c r="AO161" s="46"/>
      <c r="AP161" s="46"/>
      <c r="AQ161" s="46"/>
      <c r="AR161" s="46"/>
      <c r="AS161" s="46"/>
      <c r="AT161" s="46"/>
      <c r="AU161" s="46"/>
      <c r="AV161" s="46"/>
      <c r="AW161" s="46"/>
      <c r="AX161" s="46"/>
      <c r="AY161" s="46"/>
      <c r="AZ161" s="46"/>
      <c r="BA161" s="46"/>
      <c r="BB161" s="46"/>
      <c r="BC161" s="46"/>
      <c r="BD161" s="46"/>
      <c r="BE161" s="46"/>
    </row>
    <row r="162" spans="1:57" x14ac:dyDescent="0.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50"/>
      <c r="AL162" s="47"/>
      <c r="AM162" s="46"/>
      <c r="AN162" s="46"/>
      <c r="AO162" s="46"/>
      <c r="AP162" s="46"/>
      <c r="AQ162" s="46"/>
      <c r="AR162" s="46"/>
      <c r="AS162" s="46"/>
      <c r="AT162" s="46"/>
      <c r="AU162" s="46"/>
      <c r="AV162" s="46"/>
      <c r="AW162" s="46"/>
      <c r="AX162" s="46"/>
      <c r="AY162" s="46"/>
      <c r="AZ162" s="46"/>
      <c r="BA162" s="46"/>
      <c r="BB162" s="46"/>
      <c r="BC162" s="46"/>
      <c r="BD162" s="46"/>
      <c r="BE162" s="46"/>
    </row>
    <row r="163" spans="1:57" x14ac:dyDescent="0.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50"/>
      <c r="AL163" s="47"/>
      <c r="AM163" s="46"/>
      <c r="AN163" s="46"/>
      <c r="AO163" s="46"/>
      <c r="AP163" s="46"/>
      <c r="AQ163" s="46"/>
      <c r="AR163" s="46"/>
      <c r="AS163" s="46"/>
      <c r="AT163" s="46"/>
      <c r="AU163" s="46"/>
      <c r="AV163" s="46"/>
      <c r="AW163" s="46"/>
      <c r="AX163" s="46"/>
      <c r="AY163" s="46"/>
      <c r="AZ163" s="46"/>
      <c r="BA163" s="46"/>
      <c r="BB163" s="46"/>
      <c r="BC163" s="46"/>
      <c r="BD163" s="46"/>
      <c r="BE163" s="46"/>
    </row>
    <row r="164" spans="1:57" x14ac:dyDescent="0.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50"/>
      <c r="AL164" s="47"/>
      <c r="AM164" s="46"/>
      <c r="AN164" s="46"/>
      <c r="AO164" s="46"/>
      <c r="AP164" s="46"/>
      <c r="AQ164" s="46"/>
      <c r="AR164" s="46"/>
      <c r="AS164" s="46"/>
      <c r="AT164" s="46"/>
      <c r="AU164" s="46"/>
      <c r="AV164" s="46"/>
      <c r="AW164" s="46"/>
      <c r="AX164" s="46"/>
      <c r="AY164" s="46"/>
      <c r="AZ164" s="46"/>
      <c r="BA164" s="46"/>
      <c r="BB164" s="46"/>
      <c r="BC164" s="46"/>
      <c r="BD164" s="46"/>
      <c r="BE164" s="46"/>
    </row>
    <row r="165" spans="1:57" x14ac:dyDescent="0.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50"/>
      <c r="AL165" s="47"/>
      <c r="AM165" s="46"/>
      <c r="AN165" s="46"/>
      <c r="AO165" s="46"/>
      <c r="AP165" s="46"/>
      <c r="AQ165" s="46"/>
      <c r="AR165" s="46"/>
      <c r="AS165" s="46"/>
      <c r="AT165" s="46"/>
      <c r="AU165" s="46"/>
      <c r="AV165" s="46"/>
      <c r="AW165" s="46"/>
      <c r="AX165" s="46"/>
      <c r="AY165" s="46"/>
      <c r="AZ165" s="46"/>
      <c r="BA165" s="46"/>
      <c r="BB165" s="46"/>
      <c r="BC165" s="46"/>
      <c r="BD165" s="46"/>
      <c r="BE165" s="46"/>
    </row>
    <row r="166" spans="1:57" x14ac:dyDescent="0.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50"/>
      <c r="AL166" s="47"/>
      <c r="AM166" s="46"/>
      <c r="AN166" s="46"/>
      <c r="AO166" s="46"/>
      <c r="AP166" s="46"/>
      <c r="AQ166" s="46"/>
      <c r="AR166" s="46"/>
      <c r="AS166" s="46"/>
      <c r="AT166" s="46"/>
      <c r="AU166" s="46"/>
      <c r="AV166" s="46"/>
      <c r="AW166" s="46"/>
      <c r="AX166" s="46"/>
      <c r="AY166" s="46"/>
      <c r="AZ166" s="46"/>
      <c r="BA166" s="46"/>
      <c r="BB166" s="46"/>
      <c r="BC166" s="46"/>
      <c r="BD166" s="46"/>
      <c r="BE166" s="46"/>
    </row>
    <row r="167" spans="1:57" x14ac:dyDescent="0.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50"/>
      <c r="AL167" s="47"/>
      <c r="AM167" s="46"/>
      <c r="AN167" s="46"/>
      <c r="AO167" s="46"/>
      <c r="AP167" s="46"/>
      <c r="AQ167" s="46"/>
      <c r="AR167" s="46"/>
      <c r="AS167" s="46"/>
      <c r="AT167" s="46"/>
      <c r="AU167" s="46"/>
      <c r="AV167" s="46"/>
      <c r="AW167" s="46"/>
      <c r="AX167" s="46"/>
      <c r="AY167" s="46"/>
      <c r="AZ167" s="46"/>
      <c r="BA167" s="46"/>
      <c r="BB167" s="46"/>
      <c r="BC167" s="46"/>
      <c r="BD167" s="46"/>
      <c r="BE167" s="46"/>
    </row>
    <row r="168" spans="1:57" x14ac:dyDescent="0.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50"/>
      <c r="AL168" s="47"/>
      <c r="AM168" s="46"/>
      <c r="AN168" s="46"/>
      <c r="AO168" s="46"/>
      <c r="AP168" s="46"/>
      <c r="AQ168" s="46"/>
      <c r="AR168" s="46"/>
      <c r="AS168" s="46"/>
      <c r="AT168" s="46"/>
      <c r="AU168" s="46"/>
      <c r="AV168" s="46"/>
      <c r="AW168" s="46"/>
      <c r="AX168" s="46"/>
      <c r="AY168" s="46"/>
      <c r="AZ168" s="46"/>
      <c r="BA168" s="46"/>
      <c r="BB168" s="46"/>
      <c r="BC168" s="46"/>
      <c r="BD168" s="46"/>
      <c r="BE168" s="46"/>
    </row>
    <row r="169" spans="1:57" x14ac:dyDescent="0.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50"/>
      <c r="AL169" s="47"/>
      <c r="AM169" s="46"/>
      <c r="AN169" s="46"/>
      <c r="AO169" s="46"/>
      <c r="AP169" s="46"/>
      <c r="AQ169" s="46"/>
      <c r="AR169" s="46"/>
      <c r="AS169" s="46"/>
      <c r="AT169" s="46"/>
      <c r="AU169" s="46"/>
      <c r="AV169" s="46"/>
      <c r="AW169" s="46"/>
      <c r="AX169" s="46"/>
      <c r="AY169" s="46"/>
      <c r="AZ169" s="46"/>
      <c r="BA169" s="46"/>
      <c r="BB169" s="46"/>
      <c r="BC169" s="46"/>
      <c r="BD169" s="46"/>
      <c r="BE169" s="46"/>
    </row>
    <row r="170" spans="1:57" x14ac:dyDescent="0.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50"/>
      <c r="AL170" s="47"/>
      <c r="AM170" s="46"/>
      <c r="AN170" s="46"/>
      <c r="AO170" s="46"/>
      <c r="AP170" s="46"/>
      <c r="AQ170" s="46"/>
      <c r="AR170" s="46"/>
      <c r="AS170" s="46"/>
      <c r="AT170" s="46"/>
      <c r="AU170" s="46"/>
      <c r="AV170" s="46"/>
      <c r="AW170" s="46"/>
      <c r="AX170" s="46"/>
      <c r="AY170" s="46"/>
      <c r="AZ170" s="46"/>
      <c r="BA170" s="46"/>
      <c r="BB170" s="46"/>
      <c r="BC170" s="46"/>
      <c r="BD170" s="46"/>
      <c r="BE170" s="46"/>
    </row>
    <row r="171" spans="1:57" x14ac:dyDescent="0.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50"/>
      <c r="AL171" s="47"/>
      <c r="AM171" s="46"/>
      <c r="AN171" s="46"/>
      <c r="AO171" s="46"/>
      <c r="AP171" s="46"/>
      <c r="AQ171" s="46"/>
      <c r="AR171" s="46"/>
      <c r="AS171" s="46"/>
      <c r="AT171" s="46"/>
      <c r="AU171" s="46"/>
      <c r="AV171" s="46"/>
      <c r="AW171" s="46"/>
      <c r="AX171" s="46"/>
      <c r="AY171" s="46"/>
      <c r="AZ171" s="46"/>
      <c r="BA171" s="46"/>
      <c r="BB171" s="46"/>
      <c r="BC171" s="46"/>
      <c r="BD171" s="46"/>
      <c r="BE171" s="46"/>
    </row>
    <row r="172" spans="1:57" x14ac:dyDescent="0.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50"/>
      <c r="AL172" s="47"/>
      <c r="AM172" s="46"/>
      <c r="AN172" s="46"/>
      <c r="AO172" s="46"/>
      <c r="AP172" s="46"/>
      <c r="AQ172" s="46"/>
      <c r="AR172" s="46"/>
      <c r="AS172" s="46"/>
      <c r="AT172" s="46"/>
      <c r="AU172" s="46"/>
      <c r="AV172" s="46"/>
      <c r="AW172" s="46"/>
      <c r="AX172" s="46"/>
      <c r="AY172" s="46"/>
      <c r="AZ172" s="46"/>
      <c r="BA172" s="46"/>
      <c r="BB172" s="46"/>
      <c r="BC172" s="46"/>
      <c r="BD172" s="46"/>
      <c r="BE172" s="46"/>
    </row>
    <row r="173" spans="1:57" x14ac:dyDescent="0.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50"/>
      <c r="AL173" s="47"/>
      <c r="AM173" s="46"/>
      <c r="AN173" s="46"/>
      <c r="AO173" s="46"/>
      <c r="AP173" s="46"/>
      <c r="AQ173" s="46"/>
      <c r="AR173" s="46"/>
      <c r="AS173" s="46"/>
      <c r="AT173" s="46"/>
      <c r="AU173" s="46"/>
      <c r="AV173" s="46"/>
      <c r="AW173" s="46"/>
      <c r="AX173" s="46"/>
      <c r="AY173" s="46"/>
      <c r="AZ173" s="46"/>
      <c r="BA173" s="46"/>
      <c r="BB173" s="46"/>
      <c r="BC173" s="46"/>
      <c r="BD173" s="46"/>
      <c r="BE173" s="46"/>
    </row>
    <row r="174" spans="1:57" x14ac:dyDescent="0.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50"/>
      <c r="AL174" s="47"/>
      <c r="AM174" s="46"/>
      <c r="AN174" s="46"/>
      <c r="AO174" s="46"/>
      <c r="AP174" s="46"/>
      <c r="AQ174" s="46"/>
      <c r="AR174" s="46"/>
      <c r="AS174" s="46"/>
      <c r="AT174" s="46"/>
      <c r="AU174" s="46"/>
      <c r="AV174" s="46"/>
      <c r="AW174" s="46"/>
      <c r="AX174" s="46"/>
      <c r="AY174" s="46"/>
      <c r="AZ174" s="46"/>
      <c r="BA174" s="46"/>
      <c r="BB174" s="46"/>
      <c r="BC174" s="46"/>
      <c r="BD174" s="46"/>
      <c r="BE174" s="46"/>
    </row>
    <row r="175" spans="1:57" x14ac:dyDescent="0.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50"/>
      <c r="AL175" s="47"/>
      <c r="AM175" s="46"/>
      <c r="AN175" s="46"/>
      <c r="AO175" s="46"/>
      <c r="AP175" s="46"/>
      <c r="AQ175" s="46"/>
      <c r="AR175" s="46"/>
      <c r="AS175" s="46"/>
      <c r="AT175" s="46"/>
      <c r="AU175" s="46"/>
      <c r="AV175" s="46"/>
      <c r="AW175" s="46"/>
      <c r="AX175" s="46"/>
      <c r="AY175" s="46"/>
      <c r="AZ175" s="46"/>
      <c r="BA175" s="46"/>
      <c r="BB175" s="46"/>
      <c r="BC175" s="46"/>
      <c r="BD175" s="46"/>
      <c r="BE175" s="46"/>
    </row>
    <row r="176" spans="1:57" x14ac:dyDescent="0.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50"/>
      <c r="AL176" s="47"/>
      <c r="AM176" s="46"/>
      <c r="AN176" s="46"/>
      <c r="AO176" s="46"/>
      <c r="AP176" s="46"/>
      <c r="AQ176" s="46"/>
      <c r="AR176" s="46"/>
      <c r="AS176" s="46"/>
      <c r="AT176" s="46"/>
      <c r="AU176" s="46"/>
      <c r="AV176" s="46"/>
      <c r="AW176" s="46"/>
      <c r="AX176" s="46"/>
      <c r="AY176" s="46"/>
      <c r="AZ176" s="46"/>
      <c r="BA176" s="46"/>
      <c r="BB176" s="46"/>
      <c r="BC176" s="46"/>
      <c r="BD176" s="46"/>
      <c r="BE176" s="46"/>
    </row>
    <row r="177" spans="1:57" x14ac:dyDescent="0.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50"/>
      <c r="AL177" s="47"/>
      <c r="AM177" s="46"/>
      <c r="AN177" s="46"/>
      <c r="AO177" s="46"/>
      <c r="AP177" s="46"/>
      <c r="AQ177" s="46"/>
      <c r="AR177" s="46"/>
      <c r="AS177" s="46"/>
      <c r="AT177" s="46"/>
      <c r="AU177" s="46"/>
      <c r="AV177" s="46"/>
      <c r="AW177" s="46"/>
      <c r="AX177" s="46"/>
      <c r="AY177" s="46"/>
      <c r="AZ177" s="46"/>
      <c r="BA177" s="46"/>
      <c r="BB177" s="46"/>
      <c r="BC177" s="46"/>
      <c r="BD177" s="46"/>
      <c r="BE177" s="46"/>
    </row>
    <row r="178" spans="1:57" x14ac:dyDescent="0.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50"/>
      <c r="AL178" s="47"/>
      <c r="AM178" s="46"/>
      <c r="AN178" s="46"/>
      <c r="AO178" s="46"/>
      <c r="AP178" s="46"/>
      <c r="AQ178" s="46"/>
      <c r="AR178" s="46"/>
      <c r="AS178" s="46"/>
      <c r="AT178" s="46"/>
      <c r="AU178" s="46"/>
      <c r="AV178" s="46"/>
      <c r="AW178" s="46"/>
      <c r="AX178" s="46"/>
      <c r="AY178" s="46"/>
      <c r="AZ178" s="46"/>
      <c r="BA178" s="46"/>
      <c r="BB178" s="46"/>
      <c r="BC178" s="46"/>
      <c r="BD178" s="46"/>
      <c r="BE178" s="46"/>
    </row>
    <row r="179" spans="1:57" x14ac:dyDescent="0.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50"/>
      <c r="AL179" s="47"/>
      <c r="AM179" s="46"/>
      <c r="AN179" s="46"/>
      <c r="AO179" s="46"/>
      <c r="AP179" s="46"/>
      <c r="AQ179" s="46"/>
      <c r="AR179" s="46"/>
      <c r="AS179" s="46"/>
      <c r="AT179" s="46"/>
      <c r="AU179" s="46"/>
      <c r="AV179" s="46"/>
      <c r="AW179" s="46"/>
      <c r="AX179" s="46"/>
      <c r="AY179" s="46"/>
      <c r="AZ179" s="46"/>
      <c r="BA179" s="46"/>
      <c r="BB179" s="46"/>
      <c r="BC179" s="46"/>
      <c r="BD179" s="46"/>
      <c r="BE179" s="46"/>
    </row>
    <row r="180" spans="1:57" x14ac:dyDescent="0.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50"/>
      <c r="AL180" s="47"/>
      <c r="AM180" s="46"/>
      <c r="AN180" s="46"/>
      <c r="AO180" s="46"/>
      <c r="AP180" s="46"/>
      <c r="AQ180" s="46"/>
      <c r="AR180" s="46"/>
      <c r="AS180" s="46"/>
      <c r="AT180" s="46"/>
      <c r="AU180" s="46"/>
      <c r="AV180" s="46"/>
      <c r="AW180" s="46"/>
      <c r="AX180" s="46"/>
      <c r="AY180" s="46"/>
      <c r="AZ180" s="46"/>
      <c r="BA180" s="46"/>
      <c r="BB180" s="46"/>
      <c r="BC180" s="46"/>
      <c r="BD180" s="46"/>
      <c r="BE180" s="46"/>
    </row>
    <row r="181" spans="1:57" x14ac:dyDescent="0.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50"/>
      <c r="AL181" s="47"/>
      <c r="AM181" s="46"/>
      <c r="AN181" s="46"/>
      <c r="AO181" s="46"/>
      <c r="AP181" s="46"/>
      <c r="AQ181" s="46"/>
      <c r="AR181" s="46"/>
      <c r="AS181" s="46"/>
      <c r="AT181" s="46"/>
      <c r="AU181" s="46"/>
      <c r="AV181" s="46"/>
      <c r="AW181" s="46"/>
      <c r="AX181" s="46"/>
      <c r="AY181" s="46"/>
      <c r="AZ181" s="46"/>
      <c r="BA181" s="46"/>
      <c r="BB181" s="46"/>
      <c r="BC181" s="46"/>
      <c r="BD181" s="46"/>
      <c r="BE181" s="46"/>
    </row>
    <row r="182" spans="1:57" x14ac:dyDescent="0.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50"/>
      <c r="AL182" s="47"/>
      <c r="AM182" s="46"/>
      <c r="AN182" s="46"/>
      <c r="AO182" s="46"/>
      <c r="AP182" s="46"/>
      <c r="AQ182" s="46"/>
      <c r="AR182" s="46"/>
      <c r="AS182" s="46"/>
      <c r="AT182" s="46"/>
      <c r="AU182" s="46"/>
      <c r="AV182" s="46"/>
      <c r="AW182" s="46"/>
      <c r="AX182" s="46"/>
      <c r="AY182" s="46"/>
      <c r="AZ182" s="46"/>
      <c r="BA182" s="46"/>
      <c r="BB182" s="46"/>
      <c r="BC182" s="46"/>
      <c r="BD182" s="46"/>
      <c r="BE182" s="46"/>
    </row>
    <row r="183" spans="1:57" x14ac:dyDescent="0.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50"/>
      <c r="AL183" s="47"/>
      <c r="AM183" s="46"/>
      <c r="AN183" s="46"/>
      <c r="AO183" s="46"/>
      <c r="AP183" s="46"/>
      <c r="AQ183" s="46"/>
      <c r="AR183" s="46"/>
      <c r="AS183" s="46"/>
      <c r="AT183" s="46"/>
      <c r="AU183" s="46"/>
      <c r="AV183" s="46"/>
      <c r="AW183" s="46"/>
      <c r="AX183" s="46"/>
      <c r="AY183" s="46"/>
      <c r="AZ183" s="46"/>
      <c r="BA183" s="46"/>
      <c r="BB183" s="46"/>
      <c r="BC183" s="46"/>
      <c r="BD183" s="46"/>
      <c r="BE183" s="46"/>
    </row>
    <row r="184" spans="1:57" x14ac:dyDescent="0.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50"/>
      <c r="AL184" s="47"/>
      <c r="AM184" s="46"/>
      <c r="AN184" s="46"/>
      <c r="AO184" s="46"/>
      <c r="AP184" s="46"/>
      <c r="AQ184" s="46"/>
      <c r="AR184" s="46"/>
      <c r="AS184" s="46"/>
      <c r="AT184" s="46"/>
      <c r="AU184" s="46"/>
      <c r="AV184" s="46"/>
      <c r="AW184" s="46"/>
      <c r="AX184" s="46"/>
      <c r="AY184" s="46"/>
      <c r="AZ184" s="46"/>
      <c r="BA184" s="46"/>
      <c r="BB184" s="46"/>
      <c r="BC184" s="46"/>
      <c r="BD184" s="46"/>
      <c r="BE184" s="46"/>
    </row>
    <row r="185" spans="1:57" x14ac:dyDescent="0.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50"/>
      <c r="AL185" s="47"/>
      <c r="AM185" s="46"/>
      <c r="AN185" s="46"/>
      <c r="AO185" s="46"/>
      <c r="AP185" s="46"/>
      <c r="AQ185" s="46"/>
      <c r="AR185" s="46"/>
      <c r="AS185" s="46"/>
      <c r="AT185" s="46"/>
      <c r="AU185" s="46"/>
      <c r="AV185" s="46"/>
      <c r="AW185" s="46"/>
      <c r="AX185" s="46"/>
      <c r="AY185" s="46"/>
      <c r="AZ185" s="46"/>
      <c r="BA185" s="46"/>
      <c r="BB185" s="46"/>
      <c r="BC185" s="46"/>
      <c r="BD185" s="46"/>
      <c r="BE185" s="46"/>
    </row>
    <row r="186" spans="1:57" x14ac:dyDescent="0.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50"/>
      <c r="AL186" s="47"/>
      <c r="AM186" s="46"/>
      <c r="AN186" s="46"/>
      <c r="AO186" s="46"/>
      <c r="AP186" s="46"/>
      <c r="AQ186" s="46"/>
      <c r="AR186" s="46"/>
      <c r="AS186" s="46"/>
      <c r="AT186" s="46"/>
      <c r="AU186" s="46"/>
      <c r="AV186" s="46"/>
      <c r="AW186" s="46"/>
      <c r="AX186" s="46"/>
      <c r="AY186" s="46"/>
      <c r="AZ186" s="46"/>
      <c r="BA186" s="46"/>
      <c r="BB186" s="46"/>
      <c r="BC186" s="46"/>
      <c r="BD186" s="46"/>
      <c r="BE186" s="46"/>
    </row>
    <row r="187" spans="1:57" x14ac:dyDescent="0.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50"/>
      <c r="AL187" s="47"/>
      <c r="AM187" s="46"/>
      <c r="AN187" s="46"/>
      <c r="AO187" s="46"/>
      <c r="AP187" s="46"/>
      <c r="AQ187" s="46"/>
      <c r="AR187" s="46"/>
      <c r="AS187" s="46"/>
      <c r="AT187" s="46"/>
      <c r="AU187" s="46"/>
      <c r="AV187" s="46"/>
      <c r="AW187" s="46"/>
      <c r="AX187" s="46"/>
      <c r="AY187" s="46"/>
      <c r="AZ187" s="46"/>
      <c r="BA187" s="46"/>
      <c r="BB187" s="46"/>
      <c r="BC187" s="46"/>
      <c r="BD187" s="46"/>
      <c r="BE187" s="46"/>
    </row>
    <row r="188" spans="1:57" x14ac:dyDescent="0.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50"/>
      <c r="AL188" s="47"/>
      <c r="AM188" s="46"/>
      <c r="AN188" s="46"/>
      <c r="AO188" s="46"/>
      <c r="AP188" s="46"/>
      <c r="AQ188" s="46"/>
      <c r="AR188" s="46"/>
      <c r="AS188" s="46"/>
      <c r="AT188" s="46"/>
      <c r="AU188" s="46"/>
      <c r="AV188" s="46"/>
      <c r="AW188" s="46"/>
      <c r="AX188" s="46"/>
      <c r="AY188" s="46"/>
      <c r="AZ188" s="46"/>
      <c r="BA188" s="46"/>
      <c r="BB188" s="46"/>
      <c r="BC188" s="46"/>
      <c r="BD188" s="46"/>
      <c r="BE188" s="46"/>
    </row>
    <row r="189" spans="1:57" x14ac:dyDescent="0.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50"/>
      <c r="AL189" s="47"/>
      <c r="AM189" s="46"/>
      <c r="AN189" s="46"/>
      <c r="AO189" s="46"/>
      <c r="AP189" s="46"/>
      <c r="AQ189" s="46"/>
      <c r="AR189" s="46"/>
      <c r="AS189" s="46"/>
      <c r="AT189" s="46"/>
      <c r="AU189" s="46"/>
      <c r="AV189" s="46"/>
      <c r="AW189" s="46"/>
      <c r="AX189" s="46"/>
      <c r="AY189" s="46"/>
      <c r="AZ189" s="46"/>
      <c r="BA189" s="46"/>
      <c r="BB189" s="46"/>
      <c r="BC189" s="46"/>
      <c r="BD189" s="46"/>
      <c r="BE189" s="46"/>
    </row>
    <row r="190" spans="1:57" x14ac:dyDescent="0.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50"/>
      <c r="AL190" s="47"/>
      <c r="AM190" s="46"/>
      <c r="AN190" s="46"/>
      <c r="AO190" s="46"/>
      <c r="AP190" s="46"/>
      <c r="AQ190" s="46"/>
      <c r="AR190" s="46"/>
      <c r="AS190" s="46"/>
      <c r="AT190" s="46"/>
      <c r="AU190" s="46"/>
      <c r="AV190" s="46"/>
      <c r="AW190" s="46"/>
      <c r="AX190" s="46"/>
      <c r="AY190" s="46"/>
      <c r="AZ190" s="46"/>
      <c r="BA190" s="46"/>
      <c r="BB190" s="46"/>
      <c r="BC190" s="46"/>
      <c r="BD190" s="46"/>
      <c r="BE190" s="46"/>
    </row>
    <row r="191" spans="1:57" x14ac:dyDescent="0.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50"/>
      <c r="AL191" s="47"/>
      <c r="AM191" s="46"/>
      <c r="AN191" s="46"/>
      <c r="AO191" s="46"/>
      <c r="AP191" s="46"/>
      <c r="AQ191" s="46"/>
      <c r="AR191" s="46"/>
      <c r="AS191" s="46"/>
      <c r="AT191" s="46"/>
      <c r="AU191" s="46"/>
      <c r="AV191" s="46"/>
      <c r="AW191" s="46"/>
      <c r="AX191" s="46"/>
      <c r="AY191" s="46"/>
      <c r="AZ191" s="46"/>
      <c r="BA191" s="46"/>
      <c r="BB191" s="46"/>
      <c r="BC191" s="46"/>
      <c r="BD191" s="46"/>
      <c r="BE191" s="46"/>
    </row>
    <row r="192" spans="1:57" x14ac:dyDescent="0.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50"/>
      <c r="AL192" s="47"/>
      <c r="AM192" s="46"/>
      <c r="AN192" s="46"/>
      <c r="AO192" s="46"/>
      <c r="AP192" s="46"/>
      <c r="AQ192" s="46"/>
      <c r="AR192" s="46"/>
      <c r="AS192" s="46"/>
      <c r="AT192" s="46"/>
      <c r="AU192" s="46"/>
      <c r="AV192" s="46"/>
      <c r="AW192" s="46"/>
      <c r="AX192" s="46"/>
      <c r="AY192" s="46"/>
      <c r="AZ192" s="46"/>
      <c r="BA192" s="46"/>
      <c r="BB192" s="46"/>
      <c r="BC192" s="46"/>
      <c r="BD192" s="46"/>
      <c r="BE192" s="46"/>
    </row>
    <row r="193" spans="1:57" x14ac:dyDescent="0.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c r="AA193" s="46"/>
      <c r="AB193" s="46"/>
      <c r="AC193" s="46"/>
      <c r="AD193" s="46"/>
      <c r="AE193" s="46"/>
      <c r="AF193" s="46"/>
      <c r="AG193" s="46"/>
      <c r="AH193" s="46"/>
      <c r="AI193" s="46"/>
      <c r="AJ193" s="46"/>
      <c r="AK193" s="50"/>
      <c r="AL193" s="47"/>
      <c r="AM193" s="46"/>
      <c r="AN193" s="46"/>
      <c r="AO193" s="46"/>
      <c r="AP193" s="46"/>
      <c r="AQ193" s="46"/>
      <c r="AR193" s="46"/>
      <c r="AS193" s="46"/>
      <c r="AT193" s="46"/>
      <c r="AU193" s="46"/>
      <c r="AV193" s="46"/>
      <c r="AW193" s="46"/>
      <c r="AX193" s="46"/>
      <c r="AY193" s="46"/>
      <c r="AZ193" s="46"/>
      <c r="BA193" s="46"/>
      <c r="BB193" s="46"/>
      <c r="BC193" s="46"/>
      <c r="BD193" s="46"/>
      <c r="BE193" s="46"/>
    </row>
    <row r="194" spans="1:57" x14ac:dyDescent="0.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50"/>
      <c r="AL194" s="47"/>
      <c r="AM194" s="46"/>
      <c r="AN194" s="46"/>
      <c r="AO194" s="46"/>
      <c r="AP194" s="46"/>
      <c r="AQ194" s="46"/>
      <c r="AR194" s="46"/>
      <c r="AS194" s="46"/>
      <c r="AT194" s="46"/>
      <c r="AU194" s="46"/>
      <c r="AV194" s="46"/>
      <c r="AW194" s="46"/>
      <c r="AX194" s="46"/>
      <c r="AY194" s="46"/>
      <c r="AZ194" s="46"/>
      <c r="BA194" s="46"/>
      <c r="BB194" s="46"/>
      <c r="BC194" s="46"/>
      <c r="BD194" s="46"/>
      <c r="BE194" s="46"/>
    </row>
    <row r="195" spans="1:57" x14ac:dyDescent="0.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50"/>
      <c r="AL195" s="47"/>
      <c r="AM195" s="46"/>
      <c r="AN195" s="46"/>
      <c r="AO195" s="46"/>
      <c r="AP195" s="46"/>
      <c r="AQ195" s="46"/>
      <c r="AR195" s="46"/>
      <c r="AS195" s="46"/>
      <c r="AT195" s="46"/>
      <c r="AU195" s="46"/>
      <c r="AV195" s="46"/>
      <c r="AW195" s="46"/>
      <c r="AX195" s="46"/>
      <c r="AY195" s="46"/>
      <c r="AZ195" s="46"/>
      <c r="BA195" s="46"/>
      <c r="BB195" s="46"/>
      <c r="BC195" s="46"/>
      <c r="BD195" s="46"/>
      <c r="BE195" s="46"/>
    </row>
    <row r="196" spans="1:57" x14ac:dyDescent="0.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50"/>
      <c r="AL196" s="47"/>
      <c r="AM196" s="46"/>
      <c r="AN196" s="46"/>
      <c r="AO196" s="46"/>
      <c r="AP196" s="46"/>
      <c r="AQ196" s="46"/>
      <c r="AR196" s="46"/>
      <c r="AS196" s="46"/>
      <c r="AT196" s="46"/>
      <c r="AU196" s="46"/>
      <c r="AV196" s="46"/>
      <c r="AW196" s="46"/>
      <c r="AX196" s="46"/>
      <c r="AY196" s="46"/>
      <c r="AZ196" s="46"/>
      <c r="BA196" s="46"/>
      <c r="BB196" s="46"/>
      <c r="BC196" s="46"/>
      <c r="BD196" s="46"/>
      <c r="BE196" s="46"/>
    </row>
    <row r="197" spans="1:57" x14ac:dyDescent="0.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50"/>
      <c r="AL197" s="47"/>
      <c r="AM197" s="46"/>
      <c r="AN197" s="46"/>
      <c r="AO197" s="46"/>
      <c r="AP197" s="46"/>
      <c r="AQ197" s="46"/>
      <c r="AR197" s="46"/>
      <c r="AS197" s="46"/>
      <c r="AT197" s="46"/>
      <c r="AU197" s="46"/>
      <c r="AV197" s="46"/>
      <c r="AW197" s="46"/>
      <c r="AX197" s="46"/>
      <c r="AY197" s="46"/>
      <c r="AZ197" s="46"/>
      <c r="BA197" s="46"/>
      <c r="BB197" s="46"/>
      <c r="BC197" s="46"/>
      <c r="BD197" s="46"/>
      <c r="BE197" s="46"/>
    </row>
    <row r="198" spans="1:57" x14ac:dyDescent="0.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50"/>
      <c r="AL198" s="47"/>
      <c r="AM198" s="46"/>
      <c r="AN198" s="46"/>
      <c r="AO198" s="46"/>
      <c r="AP198" s="46"/>
      <c r="AQ198" s="46"/>
      <c r="AR198" s="46"/>
      <c r="AS198" s="46"/>
      <c r="AT198" s="46"/>
      <c r="AU198" s="46"/>
      <c r="AV198" s="46"/>
      <c r="AW198" s="46"/>
      <c r="AX198" s="46"/>
      <c r="AY198" s="46"/>
      <c r="AZ198" s="46"/>
      <c r="BA198" s="46"/>
      <c r="BB198" s="46"/>
      <c r="BC198" s="46"/>
      <c r="BD198" s="46"/>
      <c r="BE198" s="46"/>
    </row>
    <row r="199" spans="1:57" x14ac:dyDescent="0.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50"/>
      <c r="AL199" s="47"/>
      <c r="AM199" s="46"/>
      <c r="AN199" s="46"/>
      <c r="AO199" s="46"/>
      <c r="AP199" s="46"/>
      <c r="AQ199" s="46"/>
      <c r="AR199" s="46"/>
      <c r="AS199" s="46"/>
      <c r="AT199" s="46"/>
      <c r="AU199" s="46"/>
      <c r="AV199" s="46"/>
      <c r="AW199" s="46"/>
      <c r="AX199" s="46"/>
      <c r="AY199" s="46"/>
      <c r="AZ199" s="46"/>
      <c r="BA199" s="46"/>
      <c r="BB199" s="46"/>
      <c r="BC199" s="46"/>
      <c r="BD199" s="46"/>
      <c r="BE199" s="46"/>
    </row>
    <row r="200" spans="1:57" x14ac:dyDescent="0.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50"/>
      <c r="AL200" s="47"/>
      <c r="AM200" s="46"/>
      <c r="AN200" s="46"/>
      <c r="AO200" s="46"/>
      <c r="AP200" s="46"/>
      <c r="AQ200" s="46"/>
      <c r="AR200" s="46"/>
      <c r="AS200" s="46"/>
      <c r="AT200" s="46"/>
      <c r="AU200" s="46"/>
      <c r="AV200" s="46"/>
      <c r="AW200" s="46"/>
      <c r="AX200" s="46"/>
      <c r="AY200" s="46"/>
      <c r="AZ200" s="46"/>
      <c r="BA200" s="46"/>
      <c r="BB200" s="46"/>
      <c r="BC200" s="46"/>
      <c r="BD200" s="46"/>
      <c r="BE200" s="46"/>
    </row>
    <row r="201" spans="1:57" x14ac:dyDescent="0.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50"/>
      <c r="AL201" s="47"/>
      <c r="AM201" s="46"/>
      <c r="AN201" s="46"/>
      <c r="AO201" s="46"/>
      <c r="AP201" s="46"/>
      <c r="AQ201" s="46"/>
      <c r="AR201" s="46"/>
      <c r="AS201" s="46"/>
      <c r="AT201" s="46"/>
      <c r="AU201" s="46"/>
      <c r="AV201" s="46"/>
      <c r="AW201" s="46"/>
      <c r="AX201" s="46"/>
      <c r="AY201" s="46"/>
      <c r="AZ201" s="46"/>
      <c r="BA201" s="46"/>
      <c r="BB201" s="46"/>
      <c r="BC201" s="46"/>
      <c r="BD201" s="46"/>
      <c r="BE201" s="46"/>
    </row>
    <row r="202" spans="1:57" x14ac:dyDescent="0.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50"/>
      <c r="AL202" s="47"/>
      <c r="AM202" s="46"/>
      <c r="AN202" s="46"/>
      <c r="AO202" s="46"/>
      <c r="AP202" s="46"/>
      <c r="AQ202" s="46"/>
      <c r="AR202" s="46"/>
      <c r="AS202" s="46"/>
      <c r="AT202" s="46"/>
      <c r="AU202" s="46"/>
      <c r="AV202" s="46"/>
      <c r="AW202" s="46"/>
      <c r="AX202" s="46"/>
      <c r="AY202" s="46"/>
      <c r="AZ202" s="46"/>
      <c r="BA202" s="46"/>
      <c r="BB202" s="46"/>
      <c r="BC202" s="46"/>
      <c r="BD202" s="46"/>
      <c r="BE202" s="46"/>
    </row>
    <row r="203" spans="1:57" x14ac:dyDescent="0.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50"/>
      <c r="AL203" s="47"/>
      <c r="AM203" s="46"/>
      <c r="AN203" s="46"/>
      <c r="AO203" s="46"/>
      <c r="AP203" s="46"/>
      <c r="AQ203" s="46"/>
      <c r="AR203" s="46"/>
      <c r="AS203" s="46"/>
      <c r="AT203" s="46"/>
      <c r="AU203" s="46"/>
      <c r="AV203" s="46"/>
      <c r="AW203" s="46"/>
      <c r="AX203" s="46"/>
      <c r="AY203" s="46"/>
      <c r="AZ203" s="46"/>
      <c r="BA203" s="46"/>
      <c r="BB203" s="46"/>
      <c r="BC203" s="46"/>
      <c r="BD203" s="46"/>
      <c r="BE203" s="46"/>
    </row>
    <row r="204" spans="1:57" x14ac:dyDescent="0.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50"/>
      <c r="AL204" s="47"/>
      <c r="AM204" s="46"/>
      <c r="AN204" s="46"/>
      <c r="AO204" s="46"/>
      <c r="AP204" s="46"/>
      <c r="AQ204" s="46"/>
      <c r="AR204" s="46"/>
      <c r="AS204" s="46"/>
      <c r="AT204" s="46"/>
      <c r="AU204" s="46"/>
      <c r="AV204" s="46"/>
      <c r="AW204" s="46"/>
      <c r="AX204" s="46"/>
      <c r="AY204" s="46"/>
      <c r="AZ204" s="46"/>
      <c r="BA204" s="46"/>
      <c r="BB204" s="46"/>
      <c r="BC204" s="46"/>
      <c r="BD204" s="46"/>
      <c r="BE204" s="46"/>
    </row>
    <row r="205" spans="1:57" x14ac:dyDescent="0.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50"/>
      <c r="AL205" s="47"/>
      <c r="AM205" s="46"/>
      <c r="AN205" s="46"/>
      <c r="AO205" s="46"/>
      <c r="AP205" s="46"/>
      <c r="AQ205" s="46"/>
      <c r="AR205" s="46"/>
      <c r="AS205" s="46"/>
      <c r="AT205" s="46"/>
      <c r="AU205" s="46"/>
      <c r="AV205" s="46"/>
      <c r="AW205" s="46"/>
      <c r="AX205" s="46"/>
      <c r="AY205" s="46"/>
      <c r="AZ205" s="46"/>
      <c r="BA205" s="46"/>
      <c r="BB205" s="46"/>
      <c r="BC205" s="46"/>
      <c r="BD205" s="46"/>
      <c r="BE205" s="46"/>
    </row>
    <row r="206" spans="1:57" x14ac:dyDescent="0.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50"/>
      <c r="AL206" s="47"/>
      <c r="AM206" s="46"/>
      <c r="AN206" s="46"/>
      <c r="AO206" s="46"/>
      <c r="AP206" s="46"/>
      <c r="AQ206" s="46"/>
      <c r="AR206" s="46"/>
      <c r="AS206" s="46"/>
      <c r="AT206" s="46"/>
      <c r="AU206" s="46"/>
      <c r="AV206" s="46"/>
      <c r="AW206" s="46"/>
      <c r="AX206" s="46"/>
      <c r="AY206" s="46"/>
      <c r="AZ206" s="46"/>
      <c r="BA206" s="46"/>
      <c r="BB206" s="46"/>
      <c r="BC206" s="46"/>
      <c r="BD206" s="46"/>
      <c r="BE206" s="46"/>
    </row>
    <row r="207" spans="1:57" x14ac:dyDescent="0.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50"/>
      <c r="AL207" s="47"/>
      <c r="AM207" s="46"/>
      <c r="AN207" s="46"/>
      <c r="AO207" s="46"/>
      <c r="AP207" s="46"/>
      <c r="AQ207" s="46"/>
      <c r="AR207" s="46"/>
      <c r="AS207" s="46"/>
      <c r="AT207" s="46"/>
      <c r="AU207" s="46"/>
      <c r="AV207" s="46"/>
      <c r="AW207" s="46"/>
      <c r="AX207" s="46"/>
      <c r="AY207" s="46"/>
      <c r="AZ207" s="46"/>
      <c r="BA207" s="46"/>
      <c r="BB207" s="46"/>
      <c r="BC207" s="46"/>
      <c r="BD207" s="46"/>
      <c r="BE207" s="46"/>
    </row>
    <row r="208" spans="1:57" x14ac:dyDescent="0.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50"/>
      <c r="AL208" s="47"/>
      <c r="AM208" s="46"/>
      <c r="AN208" s="46"/>
      <c r="AO208" s="46"/>
      <c r="AP208" s="46"/>
      <c r="AQ208" s="46"/>
      <c r="AR208" s="46"/>
      <c r="AS208" s="46"/>
      <c r="AT208" s="46"/>
      <c r="AU208" s="46"/>
      <c r="AV208" s="46"/>
      <c r="AW208" s="46"/>
      <c r="AX208" s="46"/>
      <c r="AY208" s="46"/>
      <c r="AZ208" s="46"/>
      <c r="BA208" s="46"/>
      <c r="BB208" s="46"/>
      <c r="BC208" s="46"/>
      <c r="BD208" s="46"/>
      <c r="BE208" s="46"/>
    </row>
    <row r="209" spans="1:57" x14ac:dyDescent="0.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50"/>
      <c r="AL209" s="47"/>
      <c r="AM209" s="46"/>
      <c r="AN209" s="46"/>
      <c r="AO209" s="46"/>
      <c r="AP209" s="46"/>
      <c r="AQ209" s="46"/>
      <c r="AR209" s="46"/>
      <c r="AS209" s="46"/>
      <c r="AT209" s="46"/>
      <c r="AU209" s="46"/>
      <c r="AV209" s="46"/>
      <c r="AW209" s="46"/>
      <c r="AX209" s="46"/>
      <c r="AY209" s="46"/>
      <c r="AZ209" s="46"/>
      <c r="BA209" s="46"/>
      <c r="BB209" s="46"/>
      <c r="BC209" s="46"/>
      <c r="BD209" s="46"/>
      <c r="BE209" s="46"/>
    </row>
    <row r="210" spans="1:57" x14ac:dyDescent="0.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50"/>
      <c r="AL210" s="47"/>
      <c r="AM210" s="46"/>
      <c r="AN210" s="46"/>
      <c r="AO210" s="46"/>
      <c r="AP210" s="46"/>
      <c r="AQ210" s="46"/>
      <c r="AR210" s="46"/>
      <c r="AS210" s="46"/>
      <c r="AT210" s="46"/>
      <c r="AU210" s="46"/>
      <c r="AV210" s="46"/>
      <c r="AW210" s="46"/>
      <c r="AX210" s="46"/>
      <c r="AY210" s="46"/>
      <c r="AZ210" s="46"/>
      <c r="BA210" s="46"/>
      <c r="BB210" s="46"/>
      <c r="BC210" s="46"/>
      <c r="BD210" s="46"/>
      <c r="BE210" s="46"/>
    </row>
    <row r="211" spans="1:57" x14ac:dyDescent="0.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50"/>
      <c r="AL211" s="47"/>
      <c r="AM211" s="46"/>
      <c r="AN211" s="46"/>
      <c r="AO211" s="46"/>
      <c r="AP211" s="46"/>
      <c r="AQ211" s="46"/>
      <c r="AR211" s="46"/>
      <c r="AS211" s="46"/>
      <c r="AT211" s="46"/>
      <c r="AU211" s="46"/>
      <c r="AV211" s="46"/>
      <c r="AW211" s="46"/>
      <c r="AX211" s="46"/>
      <c r="AY211" s="46"/>
      <c r="AZ211" s="46"/>
      <c r="BA211" s="46"/>
      <c r="BB211" s="46"/>
      <c r="BC211" s="46"/>
      <c r="BD211" s="46"/>
      <c r="BE211" s="46"/>
    </row>
    <row r="212" spans="1:57" x14ac:dyDescent="0.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50"/>
      <c r="AL212" s="47"/>
      <c r="AM212" s="46"/>
      <c r="AN212" s="46"/>
      <c r="AO212" s="46"/>
      <c r="AP212" s="46"/>
      <c r="AQ212" s="46"/>
      <c r="AR212" s="46"/>
      <c r="AS212" s="46"/>
      <c r="AT212" s="46"/>
      <c r="AU212" s="46"/>
      <c r="AV212" s="46"/>
      <c r="AW212" s="46"/>
      <c r="AX212" s="46"/>
      <c r="AY212" s="46"/>
      <c r="AZ212" s="46"/>
      <c r="BA212" s="46"/>
      <c r="BB212" s="46"/>
      <c r="BC212" s="46"/>
      <c r="BD212" s="46"/>
      <c r="BE212" s="46"/>
    </row>
    <row r="213" spans="1:57" x14ac:dyDescent="0.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50"/>
      <c r="AL213" s="47"/>
      <c r="AM213" s="46"/>
      <c r="AN213" s="46"/>
      <c r="AO213" s="46"/>
      <c r="AP213" s="46"/>
      <c r="AQ213" s="46"/>
      <c r="AR213" s="46"/>
      <c r="AS213" s="46"/>
      <c r="AT213" s="46"/>
      <c r="AU213" s="46"/>
      <c r="AV213" s="46"/>
      <c r="AW213" s="46"/>
      <c r="AX213" s="46"/>
      <c r="AY213" s="46"/>
      <c r="AZ213" s="46"/>
      <c r="BA213" s="46"/>
      <c r="BB213" s="46"/>
      <c r="BC213" s="46"/>
      <c r="BD213" s="46"/>
      <c r="BE213" s="46"/>
    </row>
    <row r="214" spans="1:57" x14ac:dyDescent="0.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50"/>
      <c r="AL214" s="47"/>
      <c r="AM214" s="46"/>
      <c r="AN214" s="46"/>
      <c r="AO214" s="46"/>
      <c r="AP214" s="46"/>
      <c r="AQ214" s="46"/>
      <c r="AR214" s="46"/>
      <c r="AS214" s="46"/>
      <c r="AT214" s="46"/>
      <c r="AU214" s="46"/>
      <c r="AV214" s="46"/>
      <c r="AW214" s="46"/>
      <c r="AX214" s="46"/>
      <c r="AY214" s="46"/>
      <c r="AZ214" s="46"/>
      <c r="BA214" s="46"/>
      <c r="BB214" s="46"/>
      <c r="BC214" s="46"/>
      <c r="BD214" s="46"/>
      <c r="BE214" s="46"/>
    </row>
    <row r="215" spans="1:57" x14ac:dyDescent="0.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50"/>
      <c r="AL215" s="47"/>
      <c r="AM215" s="46"/>
      <c r="AN215" s="46"/>
      <c r="AO215" s="46"/>
      <c r="AP215" s="46"/>
      <c r="AQ215" s="46"/>
      <c r="AR215" s="46"/>
      <c r="AS215" s="46"/>
      <c r="AT215" s="46"/>
      <c r="AU215" s="46"/>
      <c r="AV215" s="46"/>
      <c r="AW215" s="46"/>
      <c r="AX215" s="46"/>
      <c r="AY215" s="46"/>
      <c r="AZ215" s="46"/>
      <c r="BA215" s="46"/>
      <c r="BB215" s="46"/>
      <c r="BC215" s="46"/>
      <c r="BD215" s="46"/>
      <c r="BE215" s="46"/>
    </row>
    <row r="216" spans="1:57" x14ac:dyDescent="0.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50"/>
      <c r="AL216" s="47"/>
      <c r="AM216" s="46"/>
      <c r="AN216" s="46"/>
      <c r="AO216" s="46"/>
      <c r="AP216" s="46"/>
      <c r="AQ216" s="46"/>
      <c r="AR216" s="46"/>
      <c r="AS216" s="46"/>
      <c r="AT216" s="46"/>
      <c r="AU216" s="46"/>
      <c r="AV216" s="46"/>
      <c r="AW216" s="46"/>
      <c r="AX216" s="46"/>
      <c r="AY216" s="46"/>
      <c r="AZ216" s="46"/>
      <c r="BA216" s="46"/>
      <c r="BB216" s="46"/>
      <c r="BC216" s="46"/>
      <c r="BD216" s="46"/>
      <c r="BE216" s="46"/>
    </row>
    <row r="217" spans="1:57" x14ac:dyDescent="0.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50"/>
      <c r="AL217" s="47"/>
      <c r="AM217" s="46"/>
      <c r="AN217" s="46"/>
      <c r="AO217" s="46"/>
      <c r="AP217" s="46"/>
      <c r="AQ217" s="46"/>
      <c r="AR217" s="46"/>
      <c r="AS217" s="46"/>
      <c r="AT217" s="46"/>
      <c r="AU217" s="46"/>
      <c r="AV217" s="46"/>
      <c r="AW217" s="46"/>
      <c r="AX217" s="46"/>
      <c r="AY217" s="46"/>
      <c r="AZ217" s="46"/>
      <c r="BA217" s="46"/>
      <c r="BB217" s="46"/>
      <c r="BC217" s="46"/>
      <c r="BD217" s="46"/>
      <c r="BE217" s="46"/>
    </row>
    <row r="218" spans="1:57" x14ac:dyDescent="0.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50"/>
      <c r="AL218" s="47"/>
      <c r="AM218" s="46"/>
      <c r="AN218" s="46"/>
      <c r="AO218" s="46"/>
      <c r="AP218" s="46"/>
      <c r="AQ218" s="46"/>
      <c r="AR218" s="46"/>
      <c r="AS218" s="46"/>
      <c r="AT218" s="46"/>
      <c r="AU218" s="46"/>
      <c r="AV218" s="46"/>
      <c r="AW218" s="46"/>
      <c r="AX218" s="46"/>
      <c r="AY218" s="46"/>
      <c r="AZ218" s="46"/>
      <c r="BA218" s="46"/>
      <c r="BB218" s="46"/>
      <c r="BC218" s="46"/>
      <c r="BD218" s="46"/>
      <c r="BE218" s="46"/>
    </row>
    <row r="219" spans="1:57" x14ac:dyDescent="0.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50"/>
      <c r="AL219" s="47"/>
      <c r="AM219" s="46"/>
      <c r="AN219" s="46"/>
      <c r="AO219" s="46"/>
      <c r="AP219" s="46"/>
      <c r="AQ219" s="46"/>
      <c r="AR219" s="46"/>
      <c r="AS219" s="46"/>
      <c r="AT219" s="46"/>
      <c r="AU219" s="46"/>
      <c r="AV219" s="46"/>
      <c r="AW219" s="46"/>
      <c r="AX219" s="46"/>
      <c r="AY219" s="46"/>
      <c r="AZ219" s="46"/>
      <c r="BA219" s="46"/>
      <c r="BB219" s="46"/>
      <c r="BC219" s="46"/>
      <c r="BD219" s="46"/>
      <c r="BE219" s="46"/>
    </row>
    <row r="220" spans="1:57" x14ac:dyDescent="0.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50"/>
      <c r="AL220" s="47"/>
      <c r="AM220" s="46"/>
      <c r="AN220" s="46"/>
      <c r="AO220" s="46"/>
      <c r="AP220" s="46"/>
      <c r="AQ220" s="46"/>
      <c r="AR220" s="46"/>
      <c r="AS220" s="46"/>
      <c r="AT220" s="46"/>
      <c r="AU220" s="46"/>
      <c r="AV220" s="46"/>
      <c r="AW220" s="46"/>
      <c r="AX220" s="46"/>
      <c r="AY220" s="46"/>
      <c r="AZ220" s="46"/>
      <c r="BA220" s="46"/>
      <c r="BB220" s="46"/>
      <c r="BC220" s="46"/>
      <c r="BD220" s="46"/>
      <c r="BE220" s="46"/>
    </row>
    <row r="221" spans="1:57" x14ac:dyDescent="0.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50"/>
      <c r="AL221" s="47"/>
      <c r="AM221" s="46"/>
      <c r="AN221" s="46"/>
      <c r="AO221" s="46"/>
      <c r="AP221" s="46"/>
      <c r="AQ221" s="46"/>
      <c r="AR221" s="46"/>
      <c r="AS221" s="46"/>
      <c r="AT221" s="46"/>
      <c r="AU221" s="46"/>
      <c r="AV221" s="46"/>
      <c r="AW221" s="46"/>
      <c r="AX221" s="46"/>
      <c r="AY221" s="46"/>
      <c r="AZ221" s="46"/>
      <c r="BA221" s="46"/>
      <c r="BB221" s="46"/>
      <c r="BC221" s="46"/>
      <c r="BD221" s="46"/>
      <c r="BE221" s="46"/>
    </row>
    <row r="222" spans="1:57" x14ac:dyDescent="0.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50"/>
      <c r="AL222" s="47"/>
      <c r="AM222" s="46"/>
      <c r="AN222" s="46"/>
      <c r="AO222" s="46"/>
      <c r="AP222" s="46"/>
      <c r="AQ222" s="46"/>
      <c r="AR222" s="46"/>
      <c r="AS222" s="46"/>
      <c r="AT222" s="46"/>
      <c r="AU222" s="46"/>
      <c r="AV222" s="46"/>
      <c r="AW222" s="46"/>
      <c r="AX222" s="46"/>
      <c r="AY222" s="46"/>
      <c r="AZ222" s="46"/>
      <c r="BA222" s="46"/>
      <c r="BB222" s="46"/>
      <c r="BC222" s="46"/>
      <c r="BD222" s="46"/>
      <c r="BE222" s="46"/>
    </row>
    <row r="223" spans="1:57" x14ac:dyDescent="0.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50"/>
      <c r="AL223" s="47"/>
      <c r="AM223" s="46"/>
      <c r="AN223" s="46"/>
      <c r="AO223" s="46"/>
      <c r="AP223" s="46"/>
      <c r="AQ223" s="46"/>
      <c r="AR223" s="46"/>
      <c r="AS223" s="46"/>
      <c r="AT223" s="46"/>
      <c r="AU223" s="46"/>
      <c r="AV223" s="46"/>
      <c r="AW223" s="46"/>
      <c r="AX223" s="46"/>
      <c r="AY223" s="46"/>
      <c r="AZ223" s="46"/>
      <c r="BA223" s="46"/>
      <c r="BB223" s="46"/>
      <c r="BC223" s="46"/>
      <c r="BD223" s="46"/>
      <c r="BE223" s="46"/>
    </row>
    <row r="224" spans="1:57" x14ac:dyDescent="0.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50"/>
      <c r="AL224" s="47"/>
      <c r="AM224" s="46"/>
      <c r="AN224" s="46"/>
      <c r="AO224" s="46"/>
      <c r="AP224" s="46"/>
      <c r="AQ224" s="46"/>
      <c r="AR224" s="46"/>
      <c r="AS224" s="46"/>
      <c r="AT224" s="46"/>
      <c r="AU224" s="46"/>
      <c r="AV224" s="46"/>
      <c r="AW224" s="46"/>
      <c r="AX224" s="46"/>
      <c r="AY224" s="46"/>
      <c r="AZ224" s="46"/>
      <c r="BA224" s="46"/>
      <c r="BB224" s="46"/>
      <c r="BC224" s="46"/>
      <c r="BD224" s="46"/>
      <c r="BE224" s="46"/>
    </row>
    <row r="225" spans="1:57" x14ac:dyDescent="0.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50"/>
      <c r="AL225" s="47"/>
      <c r="AM225" s="46"/>
      <c r="AN225" s="46"/>
      <c r="AO225" s="46"/>
      <c r="AP225" s="46"/>
      <c r="AQ225" s="46"/>
      <c r="AR225" s="46"/>
      <c r="AS225" s="46"/>
      <c r="AT225" s="46"/>
      <c r="AU225" s="46"/>
      <c r="AV225" s="46"/>
      <c r="AW225" s="46"/>
      <c r="AX225" s="46"/>
      <c r="AY225" s="46"/>
      <c r="AZ225" s="46"/>
      <c r="BA225" s="46"/>
      <c r="BB225" s="46"/>
      <c r="BC225" s="46"/>
      <c r="BD225" s="46"/>
      <c r="BE225" s="46"/>
    </row>
    <row r="226" spans="1:57" x14ac:dyDescent="0.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50"/>
      <c r="AL226" s="47"/>
      <c r="AM226" s="46"/>
      <c r="AN226" s="46"/>
      <c r="AO226" s="46"/>
      <c r="AP226" s="46"/>
      <c r="AQ226" s="46"/>
      <c r="AR226" s="46"/>
      <c r="AS226" s="46"/>
      <c r="AT226" s="46"/>
      <c r="AU226" s="46"/>
      <c r="AV226" s="46"/>
      <c r="AW226" s="46"/>
      <c r="AX226" s="46"/>
      <c r="AY226" s="46"/>
      <c r="AZ226" s="46"/>
      <c r="BA226" s="46"/>
      <c r="BB226" s="46"/>
      <c r="BC226" s="46"/>
      <c r="BD226" s="46"/>
      <c r="BE226" s="46"/>
    </row>
    <row r="227" spans="1:57" x14ac:dyDescent="0.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50"/>
      <c r="AL227" s="47"/>
      <c r="AM227" s="46"/>
      <c r="AN227" s="46"/>
      <c r="AO227" s="46"/>
      <c r="AP227" s="46"/>
      <c r="AQ227" s="46"/>
      <c r="AR227" s="46"/>
      <c r="AS227" s="46"/>
      <c r="AT227" s="46"/>
      <c r="AU227" s="46"/>
      <c r="AV227" s="46"/>
      <c r="AW227" s="46"/>
      <c r="AX227" s="46"/>
      <c r="AY227" s="46"/>
      <c r="AZ227" s="46"/>
      <c r="BA227" s="46"/>
      <c r="BB227" s="46"/>
      <c r="BC227" s="46"/>
      <c r="BD227" s="46"/>
      <c r="BE227" s="46"/>
    </row>
    <row r="228" spans="1:57" x14ac:dyDescent="0.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50"/>
      <c r="AL228" s="47"/>
      <c r="AM228" s="46"/>
      <c r="AN228" s="46"/>
      <c r="AO228" s="46"/>
      <c r="AP228" s="46"/>
      <c r="AQ228" s="46"/>
      <c r="AR228" s="46"/>
      <c r="AS228" s="46"/>
      <c r="AT228" s="46"/>
      <c r="AU228" s="46"/>
      <c r="AV228" s="46"/>
      <c r="AW228" s="46"/>
      <c r="AX228" s="46"/>
      <c r="AY228" s="46"/>
      <c r="AZ228" s="46"/>
      <c r="BA228" s="46"/>
      <c r="BB228" s="46"/>
      <c r="BC228" s="46"/>
      <c r="BD228" s="46"/>
      <c r="BE228" s="46"/>
    </row>
    <row r="229" spans="1:57" x14ac:dyDescent="0.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50"/>
      <c r="AL229" s="47"/>
      <c r="AM229" s="46"/>
      <c r="AN229" s="46"/>
      <c r="AO229" s="46"/>
      <c r="AP229" s="46"/>
      <c r="AQ229" s="46"/>
      <c r="AR229" s="46"/>
      <c r="AS229" s="46"/>
      <c r="AT229" s="46"/>
      <c r="AU229" s="46"/>
      <c r="AV229" s="46"/>
      <c r="AW229" s="46"/>
      <c r="AX229" s="46"/>
      <c r="AY229" s="46"/>
      <c r="AZ229" s="46"/>
      <c r="BA229" s="46"/>
      <c r="BB229" s="46"/>
      <c r="BC229" s="46"/>
      <c r="BD229" s="46"/>
      <c r="BE229" s="46"/>
    </row>
    <row r="230" spans="1:57" x14ac:dyDescent="0.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50"/>
      <c r="AL230" s="47"/>
      <c r="AM230" s="46"/>
      <c r="AN230" s="46"/>
      <c r="AO230" s="46"/>
      <c r="AP230" s="46"/>
      <c r="AQ230" s="46"/>
      <c r="AR230" s="46"/>
      <c r="AS230" s="46"/>
      <c r="AT230" s="46"/>
      <c r="AU230" s="46"/>
      <c r="AV230" s="46"/>
      <c r="AW230" s="46"/>
      <c r="AX230" s="46"/>
      <c r="AY230" s="46"/>
      <c r="AZ230" s="46"/>
      <c r="BA230" s="46"/>
      <c r="BB230" s="46"/>
      <c r="BC230" s="46"/>
      <c r="BD230" s="46"/>
      <c r="BE230" s="46"/>
    </row>
    <row r="231" spans="1:57" x14ac:dyDescent="0.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50"/>
      <c r="AL231" s="47"/>
      <c r="AM231" s="46"/>
      <c r="AN231" s="46"/>
      <c r="AO231" s="46"/>
      <c r="AP231" s="46"/>
      <c r="AQ231" s="46"/>
      <c r="AR231" s="46"/>
      <c r="AS231" s="46"/>
      <c r="AT231" s="46"/>
      <c r="AU231" s="46"/>
      <c r="AV231" s="46"/>
      <c r="AW231" s="46"/>
      <c r="AX231" s="46"/>
      <c r="AY231" s="46"/>
      <c r="AZ231" s="46"/>
      <c r="BA231" s="46"/>
      <c r="BB231" s="46"/>
      <c r="BC231" s="46"/>
      <c r="BD231" s="46"/>
      <c r="BE231" s="46"/>
    </row>
    <row r="232" spans="1:57" x14ac:dyDescent="0.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50"/>
      <c r="AL232" s="47"/>
      <c r="AM232" s="46"/>
      <c r="AN232" s="46"/>
      <c r="AO232" s="46"/>
      <c r="AP232" s="46"/>
      <c r="AQ232" s="46"/>
      <c r="AR232" s="46"/>
      <c r="AS232" s="46"/>
      <c r="AT232" s="46"/>
      <c r="AU232" s="46"/>
      <c r="AV232" s="46"/>
      <c r="AW232" s="46"/>
      <c r="AX232" s="46"/>
      <c r="AY232" s="46"/>
      <c r="AZ232" s="46"/>
      <c r="BA232" s="46"/>
      <c r="BB232" s="46"/>
      <c r="BC232" s="46"/>
      <c r="BD232" s="46"/>
      <c r="BE232" s="46"/>
    </row>
    <row r="233" spans="1:57" x14ac:dyDescent="0.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50"/>
      <c r="AL233" s="47"/>
      <c r="AM233" s="46"/>
      <c r="AN233" s="46"/>
      <c r="AO233" s="46"/>
      <c r="AP233" s="46"/>
      <c r="AQ233" s="46"/>
      <c r="AR233" s="46"/>
      <c r="AS233" s="46"/>
      <c r="AT233" s="46"/>
      <c r="AU233" s="46"/>
      <c r="AV233" s="46"/>
      <c r="AW233" s="46"/>
      <c r="AX233" s="46"/>
      <c r="AY233" s="46"/>
      <c r="AZ233" s="46"/>
      <c r="BA233" s="46"/>
      <c r="BB233" s="46"/>
      <c r="BC233" s="46"/>
      <c r="BD233" s="46"/>
      <c r="BE233" s="46"/>
    </row>
    <row r="234" spans="1:57" x14ac:dyDescent="0.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50"/>
      <c r="AL234" s="47"/>
      <c r="AM234" s="46"/>
      <c r="AN234" s="46"/>
      <c r="AO234" s="46"/>
      <c r="AP234" s="46"/>
      <c r="AQ234" s="46"/>
      <c r="AR234" s="46"/>
      <c r="AS234" s="46"/>
      <c r="AT234" s="46"/>
      <c r="AU234" s="46"/>
      <c r="AV234" s="46"/>
      <c r="AW234" s="46"/>
      <c r="AX234" s="46"/>
      <c r="AY234" s="46"/>
      <c r="AZ234" s="46"/>
      <c r="BA234" s="46"/>
      <c r="BB234" s="46"/>
      <c r="BC234" s="46"/>
      <c r="BD234" s="46"/>
      <c r="BE234" s="46"/>
    </row>
    <row r="235" spans="1:57" x14ac:dyDescent="0.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50"/>
      <c r="AL235" s="47"/>
      <c r="AM235" s="46"/>
      <c r="AN235" s="46"/>
      <c r="AO235" s="46"/>
      <c r="AP235" s="46"/>
      <c r="AQ235" s="46"/>
      <c r="AR235" s="46"/>
      <c r="AS235" s="46"/>
      <c r="AT235" s="46"/>
      <c r="AU235" s="46"/>
      <c r="AV235" s="46"/>
      <c r="AW235" s="46"/>
      <c r="AX235" s="46"/>
      <c r="AY235" s="46"/>
      <c r="AZ235" s="46"/>
      <c r="BA235" s="46"/>
      <c r="BB235" s="46"/>
      <c r="BC235" s="46"/>
      <c r="BD235" s="46"/>
      <c r="BE235" s="46"/>
    </row>
    <row r="236" spans="1:57" x14ac:dyDescent="0.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50"/>
      <c r="AL236" s="47"/>
      <c r="AM236" s="46"/>
      <c r="AN236" s="46"/>
      <c r="AO236" s="46"/>
      <c r="AP236" s="46"/>
      <c r="AQ236" s="46"/>
      <c r="AR236" s="46"/>
      <c r="AS236" s="46"/>
      <c r="AT236" s="46"/>
      <c r="AU236" s="46"/>
      <c r="AV236" s="46"/>
      <c r="AW236" s="46"/>
      <c r="AX236" s="46"/>
      <c r="AY236" s="46"/>
      <c r="AZ236" s="46"/>
      <c r="BA236" s="46"/>
      <c r="BB236" s="46"/>
      <c r="BC236" s="46"/>
      <c r="BD236" s="46"/>
      <c r="BE236" s="46"/>
    </row>
    <row r="237" spans="1:57" x14ac:dyDescent="0.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50"/>
      <c r="AL237" s="47"/>
      <c r="AM237" s="46"/>
      <c r="AN237" s="46"/>
      <c r="AO237" s="46"/>
      <c r="AP237" s="46"/>
      <c r="AQ237" s="46"/>
      <c r="AR237" s="46"/>
      <c r="AS237" s="46"/>
      <c r="AT237" s="46"/>
      <c r="AU237" s="46"/>
      <c r="AV237" s="46"/>
      <c r="AW237" s="46"/>
      <c r="AX237" s="46"/>
      <c r="AY237" s="46"/>
      <c r="AZ237" s="46"/>
      <c r="BA237" s="46"/>
      <c r="BB237" s="46"/>
      <c r="BC237" s="46"/>
      <c r="BD237" s="46"/>
      <c r="BE237" s="46"/>
    </row>
    <row r="238" spans="1:57" x14ac:dyDescent="0.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50"/>
      <c r="AL238" s="47"/>
      <c r="AM238" s="46"/>
      <c r="AN238" s="46"/>
      <c r="AO238" s="46"/>
      <c r="AP238" s="46"/>
      <c r="AQ238" s="46"/>
      <c r="AR238" s="46"/>
      <c r="AS238" s="46"/>
      <c r="AT238" s="46"/>
      <c r="AU238" s="46"/>
      <c r="AV238" s="46"/>
      <c r="AW238" s="46"/>
      <c r="AX238" s="46"/>
      <c r="AY238" s="46"/>
      <c r="AZ238" s="46"/>
      <c r="BA238" s="46"/>
      <c r="BB238" s="46"/>
      <c r="BC238" s="46"/>
      <c r="BD238" s="46"/>
      <c r="BE238" s="46"/>
    </row>
    <row r="239" spans="1:57" x14ac:dyDescent="0.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50"/>
      <c r="AL239" s="47"/>
      <c r="AM239" s="46"/>
      <c r="AN239" s="46"/>
      <c r="AO239" s="46"/>
      <c r="AP239" s="46"/>
      <c r="AQ239" s="46"/>
      <c r="AR239" s="46"/>
      <c r="AS239" s="46"/>
      <c r="AT239" s="46"/>
      <c r="AU239" s="46"/>
      <c r="AV239" s="46"/>
      <c r="AW239" s="46"/>
      <c r="AX239" s="46"/>
      <c r="AY239" s="46"/>
      <c r="AZ239" s="46"/>
      <c r="BA239" s="46"/>
      <c r="BB239" s="46"/>
      <c r="BC239" s="46"/>
      <c r="BD239" s="46"/>
      <c r="BE239" s="46"/>
    </row>
    <row r="240" spans="1:57" x14ac:dyDescent="0.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c r="AA240" s="46"/>
      <c r="AB240" s="46"/>
      <c r="AC240" s="46"/>
      <c r="AD240" s="46"/>
      <c r="AE240" s="46"/>
      <c r="AF240" s="46"/>
      <c r="AG240" s="46"/>
      <c r="AH240" s="46"/>
      <c r="AI240" s="46"/>
      <c r="AJ240" s="46"/>
      <c r="AK240" s="50"/>
      <c r="AL240" s="47"/>
      <c r="AM240" s="46"/>
      <c r="AN240" s="46"/>
      <c r="AO240" s="46"/>
      <c r="AP240" s="46"/>
      <c r="AQ240" s="46"/>
      <c r="AR240" s="46"/>
      <c r="AS240" s="46"/>
      <c r="AT240" s="46"/>
      <c r="AU240" s="46"/>
      <c r="AV240" s="46"/>
      <c r="AW240" s="46"/>
      <c r="AX240" s="46"/>
      <c r="AY240" s="46"/>
      <c r="AZ240" s="46"/>
      <c r="BA240" s="46"/>
      <c r="BB240" s="46"/>
      <c r="BC240" s="46"/>
      <c r="BD240" s="46"/>
      <c r="BE240" s="46"/>
    </row>
    <row r="241" spans="1:57" x14ac:dyDescent="0.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c r="AA241" s="46"/>
      <c r="AB241" s="46"/>
      <c r="AC241" s="46"/>
      <c r="AD241" s="46"/>
      <c r="AE241" s="46"/>
      <c r="AF241" s="46"/>
      <c r="AG241" s="46"/>
      <c r="AH241" s="46"/>
      <c r="AI241" s="46"/>
      <c r="AJ241" s="46"/>
      <c r="AK241" s="50"/>
      <c r="AL241" s="47"/>
      <c r="AM241" s="46"/>
      <c r="AN241" s="46"/>
      <c r="AO241" s="46"/>
      <c r="AP241" s="46"/>
      <c r="AQ241" s="46"/>
      <c r="AR241" s="46"/>
      <c r="AS241" s="46"/>
      <c r="AT241" s="46"/>
      <c r="AU241" s="46"/>
      <c r="AV241" s="46"/>
      <c r="AW241" s="46"/>
      <c r="AX241" s="46"/>
      <c r="AY241" s="46"/>
      <c r="AZ241" s="46"/>
      <c r="BA241" s="46"/>
      <c r="BB241" s="46"/>
      <c r="BC241" s="46"/>
      <c r="BD241" s="46"/>
      <c r="BE241" s="46"/>
    </row>
    <row r="242" spans="1:57" x14ac:dyDescent="0.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c r="AA242" s="46"/>
      <c r="AB242" s="46"/>
      <c r="AC242" s="46"/>
      <c r="AD242" s="46"/>
      <c r="AE242" s="46"/>
      <c r="AF242" s="46"/>
      <c r="AG242" s="46"/>
      <c r="AH242" s="46"/>
      <c r="AI242" s="46"/>
      <c r="AJ242" s="46"/>
      <c r="AK242" s="50"/>
      <c r="AL242" s="47"/>
      <c r="AM242" s="46"/>
      <c r="AN242" s="46"/>
      <c r="AO242" s="46"/>
      <c r="AP242" s="46"/>
      <c r="AQ242" s="46"/>
      <c r="AR242" s="46"/>
      <c r="AS242" s="46"/>
      <c r="AT242" s="46"/>
      <c r="AU242" s="46"/>
      <c r="AV242" s="46"/>
      <c r="AW242" s="46"/>
      <c r="AX242" s="46"/>
      <c r="AY242" s="46"/>
      <c r="AZ242" s="46"/>
      <c r="BA242" s="46"/>
      <c r="BB242" s="46"/>
      <c r="BC242" s="46"/>
      <c r="BD242" s="46"/>
      <c r="BE242" s="46"/>
    </row>
    <row r="243" spans="1:57" x14ac:dyDescent="0.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50"/>
      <c r="AL243" s="47"/>
      <c r="AM243" s="46"/>
      <c r="AN243" s="46"/>
      <c r="AO243" s="46"/>
      <c r="AP243" s="46"/>
      <c r="AQ243" s="46"/>
      <c r="AR243" s="46"/>
      <c r="AS243" s="46"/>
      <c r="AT243" s="46"/>
      <c r="AU243" s="46"/>
      <c r="AV243" s="46"/>
      <c r="AW243" s="46"/>
      <c r="AX243" s="46"/>
      <c r="AY243" s="46"/>
      <c r="AZ243" s="46"/>
      <c r="BA243" s="46"/>
      <c r="BB243" s="46"/>
      <c r="BC243" s="46"/>
      <c r="BD243" s="46"/>
      <c r="BE243" s="46"/>
    </row>
    <row r="244" spans="1:57" x14ac:dyDescent="0.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c r="AA244" s="46"/>
      <c r="AB244" s="46"/>
      <c r="AC244" s="46"/>
      <c r="AD244" s="46"/>
      <c r="AE244" s="46"/>
      <c r="AF244" s="46"/>
      <c r="AG244" s="46"/>
      <c r="AH244" s="46"/>
      <c r="AI244" s="46"/>
      <c r="AJ244" s="46"/>
      <c r="AK244" s="50"/>
      <c r="AL244" s="47"/>
      <c r="AM244" s="46"/>
      <c r="AN244" s="46"/>
      <c r="AO244" s="46"/>
      <c r="AP244" s="46"/>
      <c r="AQ244" s="46"/>
      <c r="AR244" s="46"/>
      <c r="AS244" s="46"/>
      <c r="AT244" s="46"/>
      <c r="AU244" s="46"/>
      <c r="AV244" s="46"/>
      <c r="AW244" s="46"/>
      <c r="AX244" s="46"/>
      <c r="AY244" s="46"/>
      <c r="AZ244" s="46"/>
      <c r="BA244" s="46"/>
      <c r="BB244" s="46"/>
      <c r="BC244" s="46"/>
      <c r="BD244" s="46"/>
      <c r="BE244" s="46"/>
    </row>
    <row r="245" spans="1:57" x14ac:dyDescent="0.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c r="AA245" s="46"/>
      <c r="AB245" s="46"/>
      <c r="AC245" s="46"/>
      <c r="AD245" s="46"/>
      <c r="AE245" s="46"/>
      <c r="AF245" s="46"/>
      <c r="AG245" s="46"/>
      <c r="AH245" s="46"/>
      <c r="AI245" s="46"/>
      <c r="AJ245" s="46"/>
      <c r="AK245" s="50"/>
      <c r="AL245" s="47"/>
      <c r="AM245" s="46"/>
      <c r="AN245" s="46"/>
      <c r="AO245" s="46"/>
      <c r="AP245" s="46"/>
      <c r="AQ245" s="46"/>
      <c r="AR245" s="46"/>
      <c r="AS245" s="46"/>
      <c r="AT245" s="46"/>
      <c r="AU245" s="46"/>
      <c r="AV245" s="46"/>
      <c r="AW245" s="46"/>
      <c r="AX245" s="46"/>
      <c r="AY245" s="46"/>
      <c r="AZ245" s="46"/>
      <c r="BA245" s="46"/>
      <c r="BB245" s="46"/>
      <c r="BC245" s="46"/>
      <c r="BD245" s="46"/>
      <c r="BE245" s="46"/>
    </row>
    <row r="246" spans="1:57" x14ac:dyDescent="0.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c r="AA246" s="46"/>
      <c r="AB246" s="46"/>
      <c r="AC246" s="46"/>
      <c r="AD246" s="46"/>
      <c r="AE246" s="46"/>
      <c r="AF246" s="46"/>
      <c r="AG246" s="46"/>
      <c r="AH246" s="46"/>
      <c r="AI246" s="46"/>
      <c r="AJ246" s="46"/>
      <c r="AK246" s="50"/>
      <c r="AL246" s="47"/>
      <c r="AM246" s="46"/>
      <c r="AN246" s="46"/>
      <c r="AO246" s="46"/>
      <c r="AP246" s="46"/>
      <c r="AQ246" s="46"/>
      <c r="AR246" s="46"/>
      <c r="AS246" s="46"/>
      <c r="AT246" s="46"/>
      <c r="AU246" s="46"/>
      <c r="AV246" s="46"/>
      <c r="AW246" s="46"/>
      <c r="AX246" s="46"/>
      <c r="AY246" s="46"/>
      <c r="AZ246" s="46"/>
      <c r="BA246" s="46"/>
      <c r="BB246" s="46"/>
      <c r="BC246" s="46"/>
      <c r="BD246" s="46"/>
      <c r="BE246" s="46"/>
    </row>
    <row r="247" spans="1:57" x14ac:dyDescent="0.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c r="AA247" s="46"/>
      <c r="AB247" s="46"/>
      <c r="AC247" s="46"/>
      <c r="AD247" s="46"/>
      <c r="AE247" s="46"/>
      <c r="AF247" s="46"/>
      <c r="AG247" s="46"/>
      <c r="AH247" s="46"/>
      <c r="AI247" s="46"/>
      <c r="AJ247" s="46"/>
      <c r="AK247" s="50"/>
      <c r="AL247" s="47"/>
      <c r="AM247" s="46"/>
      <c r="AN247" s="46"/>
      <c r="AO247" s="46"/>
      <c r="AP247" s="46"/>
      <c r="AQ247" s="46"/>
      <c r="AR247" s="46"/>
      <c r="AS247" s="46"/>
      <c r="AT247" s="46"/>
      <c r="AU247" s="46"/>
      <c r="AV247" s="46"/>
      <c r="AW247" s="46"/>
      <c r="AX247" s="46"/>
      <c r="AY247" s="46"/>
      <c r="AZ247" s="46"/>
      <c r="BA247" s="46"/>
      <c r="BB247" s="46"/>
      <c r="BC247" s="46"/>
      <c r="BD247" s="46"/>
      <c r="BE247" s="46"/>
    </row>
    <row r="248" spans="1:57" x14ac:dyDescent="0.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c r="AA248" s="46"/>
      <c r="AB248" s="46"/>
      <c r="AC248" s="46"/>
      <c r="AD248" s="46"/>
      <c r="AE248" s="46"/>
      <c r="AF248" s="46"/>
      <c r="AG248" s="46"/>
      <c r="AH248" s="46"/>
      <c r="AI248" s="46"/>
      <c r="AJ248" s="46"/>
      <c r="AK248" s="50"/>
      <c r="AL248" s="47"/>
      <c r="AM248" s="46"/>
      <c r="AN248" s="46"/>
      <c r="AO248" s="46"/>
      <c r="AP248" s="46"/>
      <c r="AQ248" s="46"/>
      <c r="AR248" s="46"/>
      <c r="AS248" s="46"/>
      <c r="AT248" s="46"/>
      <c r="AU248" s="46"/>
      <c r="AV248" s="46"/>
      <c r="AW248" s="46"/>
      <c r="AX248" s="46"/>
      <c r="AY248" s="46"/>
      <c r="AZ248" s="46"/>
      <c r="BA248" s="46"/>
      <c r="BB248" s="46"/>
      <c r="BC248" s="46"/>
      <c r="BD248" s="46"/>
      <c r="BE248" s="46"/>
    </row>
    <row r="249" spans="1:57" x14ac:dyDescent="0.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c r="AA249" s="46"/>
      <c r="AB249" s="46"/>
      <c r="AC249" s="46"/>
      <c r="AD249" s="46"/>
      <c r="AE249" s="46"/>
      <c r="AF249" s="46"/>
      <c r="AG249" s="46"/>
      <c r="AH249" s="46"/>
      <c r="AI249" s="46"/>
      <c r="AJ249" s="46"/>
      <c r="AK249" s="50"/>
      <c r="AL249" s="47"/>
      <c r="AM249" s="46"/>
      <c r="AN249" s="46"/>
      <c r="AO249" s="46"/>
      <c r="AP249" s="46"/>
      <c r="AQ249" s="46"/>
      <c r="AR249" s="46"/>
      <c r="AS249" s="46"/>
      <c r="AT249" s="46"/>
      <c r="AU249" s="46"/>
      <c r="AV249" s="46"/>
      <c r="AW249" s="46"/>
      <c r="AX249" s="46"/>
      <c r="AY249" s="46"/>
      <c r="AZ249" s="46"/>
      <c r="BA249" s="46"/>
      <c r="BB249" s="46"/>
      <c r="BC249" s="46"/>
      <c r="BD249" s="46"/>
      <c r="BE249" s="46"/>
    </row>
    <row r="250" spans="1:57" x14ac:dyDescent="0.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50"/>
      <c r="AL250" s="47"/>
      <c r="AM250" s="46"/>
      <c r="AN250" s="46"/>
      <c r="AO250" s="46"/>
      <c r="AP250" s="46"/>
      <c r="AQ250" s="46"/>
      <c r="AR250" s="46"/>
      <c r="AS250" s="46"/>
      <c r="AT250" s="46"/>
      <c r="AU250" s="46"/>
      <c r="AV250" s="46"/>
      <c r="AW250" s="46"/>
      <c r="AX250" s="46"/>
      <c r="AY250" s="46"/>
      <c r="AZ250" s="46"/>
      <c r="BA250" s="46"/>
      <c r="BB250" s="46"/>
      <c r="BC250" s="46"/>
      <c r="BD250" s="46"/>
      <c r="BE250" s="46"/>
    </row>
    <row r="251" spans="1:57" x14ac:dyDescent="0.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c r="AA251" s="46"/>
      <c r="AB251" s="46"/>
      <c r="AC251" s="46"/>
      <c r="AD251" s="46"/>
      <c r="AE251" s="46"/>
      <c r="AF251" s="46"/>
      <c r="AG251" s="46"/>
      <c r="AH251" s="46"/>
      <c r="AI251" s="46"/>
      <c r="AJ251" s="46"/>
      <c r="AK251" s="50"/>
      <c r="AL251" s="47"/>
      <c r="AM251" s="46"/>
      <c r="AN251" s="46"/>
      <c r="AO251" s="46"/>
      <c r="AP251" s="46"/>
      <c r="AQ251" s="46"/>
      <c r="AR251" s="46"/>
      <c r="AS251" s="46"/>
      <c r="AT251" s="46"/>
      <c r="AU251" s="46"/>
      <c r="AV251" s="46"/>
      <c r="AW251" s="46"/>
      <c r="AX251" s="46"/>
      <c r="AY251" s="46"/>
      <c r="AZ251" s="46"/>
      <c r="BA251" s="46"/>
      <c r="BB251" s="46"/>
      <c r="BC251" s="46"/>
      <c r="BD251" s="46"/>
      <c r="BE251" s="46"/>
    </row>
    <row r="252" spans="1:57" x14ac:dyDescent="0.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c r="AA252" s="46"/>
      <c r="AB252" s="46"/>
      <c r="AC252" s="46"/>
      <c r="AD252" s="46"/>
      <c r="AE252" s="46"/>
      <c r="AF252" s="46"/>
      <c r="AG252" s="46"/>
      <c r="AH252" s="46"/>
      <c r="AI252" s="46"/>
      <c r="AJ252" s="46"/>
      <c r="AK252" s="50"/>
      <c r="AL252" s="47"/>
      <c r="AM252" s="46"/>
      <c r="AN252" s="46"/>
      <c r="AO252" s="46"/>
      <c r="AP252" s="46"/>
      <c r="AQ252" s="46"/>
      <c r="AR252" s="46"/>
      <c r="AS252" s="46"/>
      <c r="AT252" s="46"/>
      <c r="AU252" s="46"/>
      <c r="AV252" s="46"/>
      <c r="AW252" s="46"/>
      <c r="AX252" s="46"/>
      <c r="AY252" s="46"/>
      <c r="AZ252" s="46"/>
      <c r="BA252" s="46"/>
      <c r="BB252" s="46"/>
      <c r="BC252" s="46"/>
      <c r="BD252" s="46"/>
      <c r="BE252" s="46"/>
    </row>
    <row r="253" spans="1:57" x14ac:dyDescent="0.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c r="AA253" s="46"/>
      <c r="AB253" s="46"/>
      <c r="AC253" s="46"/>
      <c r="AD253" s="46"/>
      <c r="AE253" s="46"/>
      <c r="AF253" s="46"/>
      <c r="AG253" s="46"/>
      <c r="AH253" s="46"/>
      <c r="AI253" s="46"/>
      <c r="AJ253" s="46"/>
      <c r="AK253" s="50"/>
      <c r="AL253" s="47"/>
      <c r="AM253" s="46"/>
      <c r="AN253" s="46"/>
      <c r="AO253" s="46"/>
      <c r="AP253" s="46"/>
      <c r="AQ253" s="46"/>
      <c r="AR253" s="46"/>
      <c r="AS253" s="46"/>
      <c r="AT253" s="46"/>
      <c r="AU253" s="46"/>
      <c r="AV253" s="46"/>
      <c r="AW253" s="46"/>
      <c r="AX253" s="46"/>
      <c r="AY253" s="46"/>
      <c r="AZ253" s="46"/>
      <c r="BA253" s="46"/>
      <c r="BB253" s="46"/>
      <c r="BC253" s="46"/>
      <c r="BD253" s="46"/>
      <c r="BE253" s="46"/>
    </row>
    <row r="254" spans="1:57" x14ac:dyDescent="0.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c r="AA254" s="46"/>
      <c r="AB254" s="46"/>
      <c r="AC254" s="46"/>
      <c r="AD254" s="46"/>
      <c r="AE254" s="46"/>
      <c r="AF254" s="46"/>
      <c r="AG254" s="46"/>
      <c r="AH254" s="46"/>
      <c r="AI254" s="46"/>
      <c r="AJ254" s="46"/>
      <c r="AK254" s="50"/>
      <c r="AL254" s="47"/>
      <c r="AM254" s="46"/>
      <c r="AN254" s="46"/>
      <c r="AO254" s="46"/>
      <c r="AP254" s="46"/>
      <c r="AQ254" s="46"/>
      <c r="AR254" s="46"/>
      <c r="AS254" s="46"/>
      <c r="AT254" s="46"/>
      <c r="AU254" s="46"/>
      <c r="AV254" s="46"/>
      <c r="AW254" s="46"/>
      <c r="AX254" s="46"/>
      <c r="AY254" s="46"/>
      <c r="AZ254" s="46"/>
      <c r="BA254" s="46"/>
      <c r="BB254" s="46"/>
      <c r="BC254" s="46"/>
      <c r="BD254" s="46"/>
      <c r="BE254" s="46"/>
    </row>
    <row r="255" spans="1:57" x14ac:dyDescent="0.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50"/>
      <c r="AL255" s="47"/>
      <c r="AM255" s="46"/>
      <c r="AN255" s="46"/>
      <c r="AO255" s="46"/>
      <c r="AP255" s="46"/>
      <c r="AQ255" s="46"/>
      <c r="AR255" s="46"/>
      <c r="AS255" s="46"/>
      <c r="AT255" s="46"/>
      <c r="AU255" s="46"/>
      <c r="AV255" s="46"/>
      <c r="AW255" s="46"/>
      <c r="AX255" s="46"/>
      <c r="AY255" s="46"/>
      <c r="AZ255" s="46"/>
      <c r="BA255" s="46"/>
      <c r="BB255" s="46"/>
      <c r="BC255" s="46"/>
      <c r="BD255" s="46"/>
      <c r="BE255" s="46"/>
    </row>
    <row r="256" spans="1:57" x14ac:dyDescent="0.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50"/>
      <c r="AL256" s="47"/>
      <c r="AM256" s="46"/>
      <c r="AN256" s="46"/>
      <c r="AO256" s="46"/>
      <c r="AP256" s="46"/>
      <c r="AQ256" s="46"/>
      <c r="AR256" s="46"/>
      <c r="AS256" s="46"/>
      <c r="AT256" s="46"/>
      <c r="AU256" s="46"/>
      <c r="AV256" s="46"/>
      <c r="AW256" s="46"/>
      <c r="AX256" s="46"/>
      <c r="AY256" s="46"/>
      <c r="AZ256" s="46"/>
      <c r="BA256" s="46"/>
      <c r="BB256" s="46"/>
      <c r="BC256" s="46"/>
      <c r="BD256" s="46"/>
      <c r="BE256" s="46"/>
    </row>
    <row r="257" spans="1:57" x14ac:dyDescent="0.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50"/>
      <c r="AL257" s="47"/>
      <c r="AM257" s="46"/>
      <c r="AN257" s="46"/>
      <c r="AO257" s="46"/>
      <c r="AP257" s="46"/>
      <c r="AQ257" s="46"/>
      <c r="AR257" s="46"/>
      <c r="AS257" s="46"/>
      <c r="AT257" s="46"/>
      <c r="AU257" s="46"/>
      <c r="AV257" s="46"/>
      <c r="AW257" s="46"/>
      <c r="AX257" s="46"/>
      <c r="AY257" s="46"/>
      <c r="AZ257" s="46"/>
      <c r="BA257" s="46"/>
      <c r="BB257" s="46"/>
      <c r="BC257" s="46"/>
      <c r="BD257" s="46"/>
      <c r="BE257" s="46"/>
    </row>
    <row r="258" spans="1:57" x14ac:dyDescent="0.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c r="AA258" s="46"/>
      <c r="AB258" s="46"/>
      <c r="AC258" s="46"/>
      <c r="AD258" s="46"/>
      <c r="AE258" s="46"/>
      <c r="AF258" s="46"/>
      <c r="AG258" s="46"/>
      <c r="AH258" s="46"/>
      <c r="AI258" s="46"/>
      <c r="AJ258" s="46"/>
      <c r="AK258" s="50"/>
      <c r="AL258" s="47"/>
      <c r="AM258" s="46"/>
      <c r="AN258" s="46"/>
      <c r="AO258" s="46"/>
      <c r="AP258" s="46"/>
      <c r="AQ258" s="46"/>
      <c r="AR258" s="46"/>
      <c r="AS258" s="46"/>
      <c r="AT258" s="46"/>
      <c r="AU258" s="46"/>
      <c r="AV258" s="46"/>
      <c r="AW258" s="46"/>
      <c r="AX258" s="46"/>
      <c r="AY258" s="46"/>
      <c r="AZ258" s="46"/>
      <c r="BA258" s="46"/>
      <c r="BB258" s="46"/>
      <c r="BC258" s="46"/>
      <c r="BD258" s="46"/>
      <c r="BE258" s="46"/>
    </row>
    <row r="259" spans="1:57" x14ac:dyDescent="0.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c r="AA259" s="46"/>
      <c r="AB259" s="46"/>
      <c r="AC259" s="46"/>
      <c r="AD259" s="46"/>
      <c r="AE259" s="46"/>
      <c r="AF259" s="46"/>
      <c r="AG259" s="46"/>
      <c r="AH259" s="46"/>
      <c r="AI259" s="46"/>
      <c r="AJ259" s="46"/>
      <c r="AK259" s="50"/>
      <c r="AL259" s="47"/>
      <c r="AM259" s="46"/>
      <c r="AN259" s="46"/>
      <c r="AO259" s="46"/>
      <c r="AP259" s="46"/>
      <c r="AQ259" s="46"/>
      <c r="AR259" s="46"/>
      <c r="AS259" s="46"/>
      <c r="AT259" s="46"/>
      <c r="AU259" s="46"/>
      <c r="AV259" s="46"/>
      <c r="AW259" s="46"/>
      <c r="AX259" s="46"/>
      <c r="AY259" s="46"/>
      <c r="AZ259" s="46"/>
      <c r="BA259" s="46"/>
      <c r="BB259" s="46"/>
      <c r="BC259" s="46"/>
      <c r="BD259" s="46"/>
      <c r="BE259" s="46"/>
    </row>
    <row r="260" spans="1:57" x14ac:dyDescent="0.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c r="AA260" s="46"/>
      <c r="AB260" s="46"/>
      <c r="AC260" s="46"/>
      <c r="AD260" s="46"/>
      <c r="AE260" s="46"/>
      <c r="AF260" s="46"/>
      <c r="AG260" s="46"/>
      <c r="AH260" s="46"/>
      <c r="AI260" s="46"/>
      <c r="AJ260" s="46"/>
      <c r="AK260" s="50"/>
      <c r="AL260" s="47"/>
      <c r="AM260" s="46"/>
      <c r="AN260" s="46"/>
      <c r="AO260" s="46"/>
      <c r="AP260" s="46"/>
      <c r="AQ260" s="46"/>
      <c r="AR260" s="46"/>
      <c r="AS260" s="46"/>
      <c r="AT260" s="46"/>
      <c r="AU260" s="46"/>
      <c r="AV260" s="46"/>
      <c r="AW260" s="46"/>
      <c r="AX260" s="46"/>
      <c r="AY260" s="46"/>
      <c r="AZ260" s="46"/>
      <c r="BA260" s="46"/>
      <c r="BB260" s="46"/>
      <c r="BC260" s="46"/>
      <c r="BD260" s="46"/>
      <c r="BE260" s="46"/>
    </row>
    <row r="261" spans="1:57" x14ac:dyDescent="0.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c r="AA261" s="46"/>
      <c r="AB261" s="46"/>
      <c r="AC261" s="46"/>
      <c r="AD261" s="46"/>
      <c r="AE261" s="46"/>
      <c r="AF261" s="46"/>
      <c r="AG261" s="46"/>
      <c r="AH261" s="46"/>
      <c r="AI261" s="46"/>
      <c r="AJ261" s="46"/>
      <c r="AK261" s="50"/>
      <c r="AL261" s="47"/>
      <c r="AM261" s="46"/>
      <c r="AN261" s="46"/>
      <c r="AO261" s="46"/>
      <c r="AP261" s="46"/>
      <c r="AQ261" s="46"/>
      <c r="AR261" s="46"/>
      <c r="AS261" s="46"/>
      <c r="AT261" s="46"/>
      <c r="AU261" s="46"/>
      <c r="AV261" s="46"/>
      <c r="AW261" s="46"/>
      <c r="AX261" s="46"/>
      <c r="AY261" s="46"/>
      <c r="AZ261" s="46"/>
      <c r="BA261" s="46"/>
      <c r="BB261" s="46"/>
      <c r="BC261" s="46"/>
      <c r="BD261" s="46"/>
      <c r="BE261" s="46"/>
    </row>
    <row r="262" spans="1:57" x14ac:dyDescent="0.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c r="AA262" s="46"/>
      <c r="AB262" s="46"/>
      <c r="AC262" s="46"/>
      <c r="AD262" s="46"/>
      <c r="AE262" s="46"/>
      <c r="AF262" s="46"/>
      <c r="AG262" s="46"/>
      <c r="AH262" s="46"/>
      <c r="AI262" s="46"/>
      <c r="AJ262" s="46"/>
      <c r="AK262" s="50"/>
      <c r="AL262" s="47"/>
      <c r="AM262" s="46"/>
      <c r="AN262" s="46"/>
      <c r="AO262" s="46"/>
      <c r="AP262" s="46"/>
      <c r="AQ262" s="46"/>
      <c r="AR262" s="46"/>
      <c r="AS262" s="46"/>
      <c r="AT262" s="46"/>
      <c r="AU262" s="46"/>
      <c r="AV262" s="46"/>
      <c r="AW262" s="46"/>
      <c r="AX262" s="46"/>
      <c r="AY262" s="46"/>
      <c r="AZ262" s="46"/>
      <c r="BA262" s="46"/>
      <c r="BB262" s="46"/>
      <c r="BC262" s="46"/>
      <c r="BD262" s="46"/>
      <c r="BE262" s="46"/>
    </row>
    <row r="263" spans="1:57" x14ac:dyDescent="0.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c r="AA263" s="46"/>
      <c r="AB263" s="46"/>
      <c r="AC263" s="46"/>
      <c r="AD263" s="46"/>
      <c r="AE263" s="46"/>
      <c r="AF263" s="46"/>
      <c r="AG263" s="46"/>
      <c r="AH263" s="46"/>
      <c r="AI263" s="46"/>
      <c r="AJ263" s="46"/>
      <c r="AK263" s="50"/>
      <c r="AL263" s="47"/>
      <c r="AM263" s="46"/>
      <c r="AN263" s="46"/>
      <c r="AO263" s="46"/>
      <c r="AP263" s="46"/>
      <c r="AQ263" s="46"/>
      <c r="AR263" s="46"/>
      <c r="AS263" s="46"/>
      <c r="AT263" s="46"/>
      <c r="AU263" s="46"/>
      <c r="AV263" s="46"/>
      <c r="AW263" s="46"/>
      <c r="AX263" s="46"/>
      <c r="AY263" s="46"/>
      <c r="AZ263" s="46"/>
      <c r="BA263" s="46"/>
      <c r="BB263" s="46"/>
      <c r="BC263" s="46"/>
      <c r="BD263" s="46"/>
      <c r="BE263" s="46"/>
    </row>
    <row r="264" spans="1:57" x14ac:dyDescent="0.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c r="AA264" s="46"/>
      <c r="AB264" s="46"/>
      <c r="AC264" s="46"/>
      <c r="AD264" s="46"/>
      <c r="AE264" s="46"/>
      <c r="AF264" s="46"/>
      <c r="AG264" s="46"/>
      <c r="AH264" s="46"/>
      <c r="AI264" s="46"/>
      <c r="AJ264" s="46"/>
      <c r="AK264" s="50"/>
      <c r="AL264" s="47"/>
      <c r="AM264" s="46"/>
      <c r="AN264" s="46"/>
      <c r="AO264" s="46"/>
      <c r="AP264" s="46"/>
      <c r="AQ264" s="46"/>
      <c r="AR264" s="46"/>
      <c r="AS264" s="46"/>
      <c r="AT264" s="46"/>
      <c r="AU264" s="46"/>
      <c r="AV264" s="46"/>
      <c r="AW264" s="46"/>
      <c r="AX264" s="46"/>
      <c r="AY264" s="46"/>
      <c r="AZ264" s="46"/>
      <c r="BA264" s="46"/>
      <c r="BB264" s="46"/>
      <c r="BC264" s="46"/>
      <c r="BD264" s="46"/>
      <c r="BE264" s="46"/>
    </row>
    <row r="265" spans="1:57" x14ac:dyDescent="0.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c r="AA265" s="46"/>
      <c r="AB265" s="46"/>
      <c r="AC265" s="46"/>
      <c r="AD265" s="46"/>
      <c r="AE265" s="46"/>
      <c r="AF265" s="46"/>
      <c r="AG265" s="46"/>
      <c r="AH265" s="46"/>
      <c r="AI265" s="46"/>
      <c r="AJ265" s="46"/>
      <c r="AK265" s="50"/>
      <c r="AL265" s="47"/>
      <c r="AM265" s="46"/>
      <c r="AN265" s="46"/>
      <c r="AO265" s="46"/>
      <c r="AP265" s="46"/>
      <c r="AQ265" s="46"/>
      <c r="AR265" s="46"/>
      <c r="AS265" s="46"/>
      <c r="AT265" s="46"/>
      <c r="AU265" s="46"/>
      <c r="AV265" s="46"/>
      <c r="AW265" s="46"/>
      <c r="AX265" s="46"/>
      <c r="AY265" s="46"/>
      <c r="AZ265" s="46"/>
      <c r="BA265" s="46"/>
      <c r="BB265" s="46"/>
      <c r="BC265" s="46"/>
      <c r="BD265" s="46"/>
      <c r="BE265" s="46"/>
    </row>
    <row r="266" spans="1:57" x14ac:dyDescent="0.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c r="AA266" s="46"/>
      <c r="AB266" s="46"/>
      <c r="AC266" s="46"/>
      <c r="AD266" s="46"/>
      <c r="AE266" s="46"/>
      <c r="AF266" s="46"/>
      <c r="AG266" s="46"/>
      <c r="AH266" s="46"/>
      <c r="AI266" s="46"/>
      <c r="AJ266" s="46"/>
      <c r="AK266" s="50"/>
      <c r="AL266" s="47"/>
      <c r="AM266" s="46"/>
      <c r="AN266" s="46"/>
      <c r="AO266" s="46"/>
      <c r="AP266" s="46"/>
      <c r="AQ266" s="46"/>
      <c r="AR266" s="46"/>
      <c r="AS266" s="46"/>
      <c r="AT266" s="46"/>
      <c r="AU266" s="46"/>
      <c r="AV266" s="46"/>
      <c r="AW266" s="46"/>
      <c r="AX266" s="46"/>
      <c r="AY266" s="46"/>
      <c r="AZ266" s="46"/>
      <c r="BA266" s="46"/>
      <c r="BB266" s="46"/>
      <c r="BC266" s="46"/>
      <c r="BD266" s="46"/>
      <c r="BE266" s="46"/>
    </row>
    <row r="267" spans="1:57" x14ac:dyDescent="0.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c r="AA267" s="46"/>
      <c r="AB267" s="46"/>
      <c r="AC267" s="46"/>
      <c r="AD267" s="46"/>
      <c r="AE267" s="46"/>
      <c r="AF267" s="46"/>
      <c r="AG267" s="46"/>
      <c r="AH267" s="46"/>
      <c r="AI267" s="46"/>
      <c r="AJ267" s="46"/>
      <c r="AK267" s="50"/>
      <c r="AL267" s="47"/>
      <c r="AM267" s="46"/>
      <c r="AN267" s="46"/>
      <c r="AO267" s="46"/>
      <c r="AP267" s="46"/>
      <c r="AQ267" s="46"/>
      <c r="AR267" s="46"/>
      <c r="AS267" s="46"/>
      <c r="AT267" s="46"/>
      <c r="AU267" s="46"/>
      <c r="AV267" s="46"/>
      <c r="AW267" s="46"/>
      <c r="AX267" s="46"/>
      <c r="AY267" s="46"/>
      <c r="AZ267" s="46"/>
      <c r="BA267" s="46"/>
      <c r="BB267" s="46"/>
      <c r="BC267" s="46"/>
      <c r="BD267" s="46"/>
      <c r="BE267" s="46"/>
    </row>
    <row r="268" spans="1:57" x14ac:dyDescent="0.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c r="AA268" s="46"/>
      <c r="AB268" s="46"/>
      <c r="AC268" s="46"/>
      <c r="AD268" s="46"/>
      <c r="AE268" s="46"/>
      <c r="AF268" s="46"/>
      <c r="AG268" s="46"/>
      <c r="AH268" s="46"/>
      <c r="AI268" s="46"/>
      <c r="AJ268" s="46"/>
      <c r="AK268" s="50"/>
      <c r="AL268" s="47"/>
      <c r="AM268" s="46"/>
      <c r="AN268" s="46"/>
      <c r="AO268" s="46"/>
      <c r="AP268" s="46"/>
      <c r="AQ268" s="46"/>
      <c r="AR268" s="46"/>
      <c r="AS268" s="46"/>
      <c r="AT268" s="46"/>
      <c r="AU268" s="46"/>
      <c r="AV268" s="46"/>
      <c r="AW268" s="46"/>
      <c r="AX268" s="46"/>
      <c r="AY268" s="46"/>
      <c r="AZ268" s="46"/>
      <c r="BA268" s="46"/>
      <c r="BB268" s="46"/>
      <c r="BC268" s="46"/>
      <c r="BD268" s="46"/>
      <c r="BE268" s="46"/>
    </row>
    <row r="269" spans="1:57" x14ac:dyDescent="0.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c r="AA269" s="46"/>
      <c r="AB269" s="46"/>
      <c r="AC269" s="46"/>
      <c r="AD269" s="46"/>
      <c r="AE269" s="46"/>
      <c r="AF269" s="46"/>
      <c r="AG269" s="46"/>
      <c r="AH269" s="46"/>
      <c r="AI269" s="46"/>
      <c r="AJ269" s="46"/>
      <c r="AK269" s="50"/>
      <c r="AL269" s="47"/>
      <c r="AM269" s="46"/>
      <c r="AN269" s="46"/>
      <c r="AO269" s="46"/>
      <c r="AP269" s="46"/>
      <c r="AQ269" s="46"/>
      <c r="AR269" s="46"/>
      <c r="AS269" s="46"/>
      <c r="AT269" s="46"/>
      <c r="AU269" s="46"/>
      <c r="AV269" s="46"/>
      <c r="AW269" s="46"/>
      <c r="AX269" s="46"/>
      <c r="AY269" s="46"/>
      <c r="AZ269" s="46"/>
      <c r="BA269" s="46"/>
      <c r="BB269" s="46"/>
      <c r="BC269" s="46"/>
      <c r="BD269" s="46"/>
      <c r="BE269" s="46"/>
    </row>
    <row r="270" spans="1:57" x14ac:dyDescent="0.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c r="AB270" s="46"/>
      <c r="AC270" s="46"/>
      <c r="AD270" s="46"/>
      <c r="AE270" s="46"/>
      <c r="AF270" s="46"/>
      <c r="AG270" s="46"/>
      <c r="AH270" s="46"/>
      <c r="AI270" s="46"/>
      <c r="AJ270" s="46"/>
      <c r="AK270" s="50"/>
      <c r="AL270" s="47"/>
      <c r="AM270" s="46"/>
      <c r="AN270" s="46"/>
      <c r="AO270" s="46"/>
      <c r="AP270" s="46"/>
      <c r="AQ270" s="46"/>
      <c r="AR270" s="46"/>
      <c r="AS270" s="46"/>
      <c r="AT270" s="46"/>
      <c r="AU270" s="46"/>
      <c r="AV270" s="46"/>
      <c r="AW270" s="46"/>
      <c r="AX270" s="46"/>
      <c r="AY270" s="46"/>
      <c r="AZ270" s="46"/>
      <c r="BA270" s="46"/>
      <c r="BB270" s="46"/>
      <c r="BC270" s="46"/>
      <c r="BD270" s="46"/>
      <c r="BE270" s="46"/>
    </row>
    <row r="271" spans="1:57" x14ac:dyDescent="0.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c r="AA271" s="46"/>
      <c r="AB271" s="46"/>
      <c r="AC271" s="46"/>
      <c r="AD271" s="46"/>
      <c r="AE271" s="46"/>
      <c r="AF271" s="46"/>
      <c r="AG271" s="46"/>
      <c r="AH271" s="46"/>
      <c r="AI271" s="46"/>
      <c r="AJ271" s="46"/>
      <c r="AK271" s="50"/>
      <c r="AL271" s="47"/>
      <c r="AM271" s="46"/>
      <c r="AN271" s="46"/>
      <c r="AO271" s="46"/>
      <c r="AP271" s="46"/>
      <c r="AQ271" s="46"/>
      <c r="AR271" s="46"/>
      <c r="AS271" s="46"/>
      <c r="AT271" s="46"/>
      <c r="AU271" s="46"/>
      <c r="AV271" s="46"/>
      <c r="AW271" s="46"/>
      <c r="AX271" s="46"/>
      <c r="AY271" s="46"/>
      <c r="AZ271" s="46"/>
      <c r="BA271" s="46"/>
      <c r="BB271" s="46"/>
      <c r="BC271" s="46"/>
      <c r="BD271" s="46"/>
      <c r="BE271" s="46"/>
    </row>
    <row r="272" spans="1:57" x14ac:dyDescent="0.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c r="AA272" s="46"/>
      <c r="AB272" s="46"/>
      <c r="AC272" s="46"/>
      <c r="AD272" s="46"/>
      <c r="AE272" s="46"/>
      <c r="AF272" s="46"/>
      <c r="AG272" s="46"/>
      <c r="AH272" s="46"/>
      <c r="AI272" s="46"/>
      <c r="AJ272" s="46"/>
      <c r="AK272" s="50"/>
      <c r="AL272" s="47"/>
      <c r="AM272" s="46"/>
      <c r="AN272" s="46"/>
      <c r="AO272" s="46"/>
      <c r="AP272" s="46"/>
      <c r="AQ272" s="46"/>
      <c r="AR272" s="46"/>
      <c r="AS272" s="46"/>
      <c r="AT272" s="46"/>
      <c r="AU272" s="46"/>
      <c r="AV272" s="46"/>
      <c r="AW272" s="46"/>
      <c r="AX272" s="46"/>
      <c r="AY272" s="46"/>
      <c r="AZ272" s="46"/>
      <c r="BA272" s="46"/>
      <c r="BB272" s="46"/>
      <c r="BC272" s="46"/>
      <c r="BD272" s="46"/>
      <c r="BE272" s="46"/>
    </row>
    <row r="273" spans="1:57" x14ac:dyDescent="0.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c r="AA273" s="46"/>
      <c r="AB273" s="46"/>
      <c r="AC273" s="46"/>
      <c r="AD273" s="46"/>
      <c r="AE273" s="46"/>
      <c r="AF273" s="46"/>
      <c r="AG273" s="46"/>
      <c r="AH273" s="46"/>
      <c r="AI273" s="46"/>
      <c r="AJ273" s="46"/>
      <c r="AK273" s="50"/>
      <c r="AL273" s="47"/>
      <c r="AM273" s="46"/>
      <c r="AN273" s="46"/>
      <c r="AO273" s="46"/>
      <c r="AP273" s="46"/>
      <c r="AQ273" s="46"/>
      <c r="AR273" s="46"/>
      <c r="AS273" s="46"/>
      <c r="AT273" s="46"/>
      <c r="AU273" s="46"/>
      <c r="AV273" s="46"/>
      <c r="AW273" s="46"/>
      <c r="AX273" s="46"/>
      <c r="AY273" s="46"/>
      <c r="AZ273" s="46"/>
      <c r="BA273" s="46"/>
      <c r="BB273" s="46"/>
      <c r="BC273" s="46"/>
      <c r="BD273" s="46"/>
      <c r="BE273" s="46"/>
    </row>
    <row r="274" spans="1:57" x14ac:dyDescent="0.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c r="AA274" s="46"/>
      <c r="AB274" s="46"/>
      <c r="AC274" s="46"/>
      <c r="AD274" s="46"/>
      <c r="AE274" s="46"/>
      <c r="AF274" s="46"/>
      <c r="AG274" s="46"/>
      <c r="AH274" s="46"/>
      <c r="AI274" s="46"/>
      <c r="AJ274" s="46"/>
      <c r="AK274" s="50"/>
      <c r="AL274" s="47"/>
      <c r="AM274" s="46"/>
      <c r="AN274" s="46"/>
      <c r="AO274" s="46"/>
      <c r="AP274" s="46"/>
      <c r="AQ274" s="46"/>
      <c r="AR274" s="46"/>
      <c r="AS274" s="46"/>
      <c r="AT274" s="46"/>
      <c r="AU274" s="46"/>
      <c r="AV274" s="46"/>
      <c r="AW274" s="46"/>
      <c r="AX274" s="46"/>
      <c r="AY274" s="46"/>
      <c r="AZ274" s="46"/>
      <c r="BA274" s="46"/>
      <c r="BB274" s="46"/>
      <c r="BC274" s="46"/>
      <c r="BD274" s="46"/>
      <c r="BE274" s="46"/>
    </row>
    <row r="275" spans="1:57" x14ac:dyDescent="0.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c r="AA275" s="46"/>
      <c r="AB275" s="46"/>
      <c r="AC275" s="46"/>
      <c r="AD275" s="46"/>
      <c r="AE275" s="46"/>
      <c r="AF275" s="46"/>
      <c r="AG275" s="46"/>
      <c r="AH275" s="46"/>
      <c r="AI275" s="46"/>
      <c r="AJ275" s="46"/>
      <c r="AK275" s="50"/>
      <c r="AL275" s="47"/>
      <c r="AM275" s="46"/>
      <c r="AN275" s="46"/>
      <c r="AO275" s="46"/>
      <c r="AP275" s="46"/>
      <c r="AQ275" s="46"/>
      <c r="AR275" s="46"/>
      <c r="AS275" s="46"/>
      <c r="AT275" s="46"/>
      <c r="AU275" s="46"/>
      <c r="AV275" s="46"/>
      <c r="AW275" s="46"/>
      <c r="AX275" s="46"/>
      <c r="AY275" s="46"/>
      <c r="AZ275" s="46"/>
      <c r="BA275" s="46"/>
      <c r="BB275" s="46"/>
      <c r="BC275" s="46"/>
      <c r="BD275" s="46"/>
      <c r="BE275" s="46"/>
    </row>
    <row r="276" spans="1:57" x14ac:dyDescent="0.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50"/>
      <c r="AL276" s="47"/>
      <c r="AM276" s="46"/>
      <c r="AN276" s="46"/>
      <c r="AO276" s="46"/>
      <c r="AP276" s="46"/>
      <c r="AQ276" s="46"/>
      <c r="AR276" s="46"/>
      <c r="AS276" s="46"/>
      <c r="AT276" s="46"/>
      <c r="AU276" s="46"/>
      <c r="AV276" s="46"/>
      <c r="AW276" s="46"/>
      <c r="AX276" s="46"/>
      <c r="AY276" s="46"/>
      <c r="AZ276" s="46"/>
      <c r="BA276" s="46"/>
      <c r="BB276" s="46"/>
      <c r="BC276" s="46"/>
      <c r="BD276" s="46"/>
      <c r="BE276" s="46"/>
    </row>
    <row r="277" spans="1:57" x14ac:dyDescent="0.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c r="AA277" s="46"/>
      <c r="AB277" s="46"/>
      <c r="AC277" s="46"/>
      <c r="AD277" s="46"/>
      <c r="AE277" s="46"/>
      <c r="AF277" s="46"/>
      <c r="AG277" s="46"/>
      <c r="AH277" s="46"/>
      <c r="AI277" s="46"/>
      <c r="AJ277" s="46"/>
      <c r="AK277" s="50"/>
      <c r="AL277" s="47"/>
      <c r="AM277" s="46"/>
      <c r="AN277" s="46"/>
      <c r="AO277" s="46"/>
      <c r="AP277" s="46"/>
      <c r="AQ277" s="46"/>
      <c r="AR277" s="46"/>
      <c r="AS277" s="46"/>
      <c r="AT277" s="46"/>
      <c r="AU277" s="46"/>
      <c r="AV277" s="46"/>
      <c r="AW277" s="46"/>
      <c r="AX277" s="46"/>
      <c r="AY277" s="46"/>
      <c r="AZ277" s="46"/>
      <c r="BA277" s="46"/>
      <c r="BB277" s="46"/>
      <c r="BC277" s="46"/>
      <c r="BD277" s="46"/>
      <c r="BE277" s="46"/>
    </row>
    <row r="278" spans="1:57" x14ac:dyDescent="0.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50"/>
      <c r="AL278" s="47"/>
      <c r="AM278" s="46"/>
      <c r="AN278" s="46"/>
      <c r="AO278" s="46"/>
      <c r="AP278" s="46"/>
      <c r="AQ278" s="46"/>
      <c r="AR278" s="46"/>
      <c r="AS278" s="46"/>
      <c r="AT278" s="46"/>
      <c r="AU278" s="46"/>
      <c r="AV278" s="46"/>
      <c r="AW278" s="46"/>
      <c r="AX278" s="46"/>
      <c r="AY278" s="46"/>
      <c r="AZ278" s="46"/>
      <c r="BA278" s="46"/>
      <c r="BB278" s="46"/>
      <c r="BC278" s="46"/>
      <c r="BD278" s="46"/>
      <c r="BE278" s="46"/>
    </row>
    <row r="279" spans="1:57" x14ac:dyDescent="0.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c r="AA279" s="46"/>
      <c r="AB279" s="46"/>
      <c r="AC279" s="46"/>
      <c r="AD279" s="46"/>
      <c r="AE279" s="46"/>
      <c r="AF279" s="46"/>
      <c r="AG279" s="46"/>
      <c r="AH279" s="46"/>
      <c r="AI279" s="46"/>
      <c r="AJ279" s="46"/>
      <c r="AK279" s="50"/>
      <c r="AL279" s="47"/>
      <c r="AM279" s="46"/>
      <c r="AN279" s="46"/>
      <c r="AO279" s="46"/>
      <c r="AP279" s="46"/>
      <c r="AQ279" s="46"/>
      <c r="AR279" s="46"/>
      <c r="AS279" s="46"/>
      <c r="AT279" s="46"/>
      <c r="AU279" s="46"/>
      <c r="AV279" s="46"/>
      <c r="AW279" s="46"/>
      <c r="AX279" s="46"/>
      <c r="AY279" s="46"/>
      <c r="AZ279" s="46"/>
      <c r="BA279" s="46"/>
      <c r="BB279" s="46"/>
      <c r="BC279" s="46"/>
      <c r="BD279" s="46"/>
      <c r="BE279" s="46"/>
    </row>
    <row r="280" spans="1:57" x14ac:dyDescent="0.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c r="AA280" s="46"/>
      <c r="AB280" s="46"/>
      <c r="AC280" s="46"/>
      <c r="AD280" s="46"/>
      <c r="AE280" s="46"/>
      <c r="AF280" s="46"/>
      <c r="AG280" s="46"/>
      <c r="AH280" s="46"/>
      <c r="AI280" s="46"/>
      <c r="AJ280" s="46"/>
      <c r="AK280" s="50"/>
      <c r="AL280" s="47"/>
      <c r="AM280" s="46"/>
      <c r="AN280" s="46"/>
      <c r="AO280" s="46"/>
      <c r="AP280" s="46"/>
      <c r="AQ280" s="46"/>
      <c r="AR280" s="46"/>
      <c r="AS280" s="46"/>
      <c r="AT280" s="46"/>
      <c r="AU280" s="46"/>
      <c r="AV280" s="46"/>
      <c r="AW280" s="46"/>
      <c r="AX280" s="46"/>
      <c r="AY280" s="46"/>
      <c r="AZ280" s="46"/>
      <c r="BA280" s="46"/>
      <c r="BB280" s="46"/>
      <c r="BC280" s="46"/>
      <c r="BD280" s="46"/>
      <c r="BE280" s="46"/>
    </row>
    <row r="281" spans="1:57" x14ac:dyDescent="0.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c r="AA281" s="46"/>
      <c r="AB281" s="46"/>
      <c r="AC281" s="46"/>
      <c r="AD281" s="46"/>
      <c r="AE281" s="46"/>
      <c r="AF281" s="46"/>
      <c r="AG281" s="46"/>
      <c r="AH281" s="46"/>
      <c r="AI281" s="46"/>
      <c r="AJ281" s="46"/>
      <c r="AK281" s="50"/>
      <c r="AL281" s="47"/>
      <c r="AM281" s="46"/>
      <c r="AN281" s="46"/>
      <c r="AO281" s="46"/>
      <c r="AP281" s="46"/>
      <c r="AQ281" s="46"/>
      <c r="AR281" s="46"/>
      <c r="AS281" s="46"/>
      <c r="AT281" s="46"/>
      <c r="AU281" s="46"/>
      <c r="AV281" s="46"/>
      <c r="AW281" s="46"/>
      <c r="AX281" s="46"/>
      <c r="AY281" s="46"/>
      <c r="AZ281" s="46"/>
      <c r="BA281" s="46"/>
      <c r="BB281" s="46"/>
      <c r="BC281" s="46"/>
      <c r="BD281" s="46"/>
      <c r="BE281" s="46"/>
    </row>
    <row r="282" spans="1:57" x14ac:dyDescent="0.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c r="AA282" s="46"/>
      <c r="AB282" s="46"/>
      <c r="AC282" s="46"/>
      <c r="AD282" s="46"/>
      <c r="AE282" s="46"/>
      <c r="AF282" s="46"/>
      <c r="AG282" s="46"/>
      <c r="AH282" s="46"/>
      <c r="AI282" s="46"/>
      <c r="AJ282" s="46"/>
      <c r="AK282" s="50"/>
      <c r="AL282" s="47"/>
      <c r="AM282" s="46"/>
      <c r="AN282" s="46"/>
      <c r="AO282" s="46"/>
      <c r="AP282" s="46"/>
      <c r="AQ282" s="46"/>
      <c r="AR282" s="46"/>
      <c r="AS282" s="46"/>
      <c r="AT282" s="46"/>
      <c r="AU282" s="46"/>
      <c r="AV282" s="46"/>
      <c r="AW282" s="46"/>
      <c r="AX282" s="46"/>
      <c r="AY282" s="46"/>
      <c r="AZ282" s="46"/>
      <c r="BA282" s="46"/>
      <c r="BB282" s="46"/>
      <c r="BC282" s="46"/>
      <c r="BD282" s="46"/>
      <c r="BE282" s="46"/>
    </row>
    <row r="283" spans="1:57" x14ac:dyDescent="0.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c r="AA283" s="46"/>
      <c r="AB283" s="46"/>
      <c r="AC283" s="46"/>
      <c r="AD283" s="46"/>
      <c r="AE283" s="46"/>
      <c r="AF283" s="46"/>
      <c r="AG283" s="46"/>
      <c r="AH283" s="46"/>
      <c r="AI283" s="46"/>
      <c r="AJ283" s="46"/>
      <c r="AK283" s="50"/>
      <c r="AL283" s="47"/>
      <c r="AM283" s="46"/>
      <c r="AN283" s="46"/>
      <c r="AO283" s="46"/>
      <c r="AP283" s="46"/>
      <c r="AQ283" s="46"/>
      <c r="AR283" s="46"/>
      <c r="AS283" s="46"/>
      <c r="AT283" s="46"/>
      <c r="AU283" s="46"/>
      <c r="AV283" s="46"/>
      <c r="AW283" s="46"/>
      <c r="AX283" s="46"/>
      <c r="AY283" s="46"/>
      <c r="AZ283" s="46"/>
      <c r="BA283" s="46"/>
      <c r="BB283" s="46"/>
      <c r="BC283" s="46"/>
      <c r="BD283" s="46"/>
      <c r="BE283" s="46"/>
    </row>
    <row r="284" spans="1:57" x14ac:dyDescent="0.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c r="AA284" s="46"/>
      <c r="AB284" s="46"/>
      <c r="AC284" s="46"/>
      <c r="AD284" s="46"/>
      <c r="AE284" s="46"/>
      <c r="AF284" s="46"/>
      <c r="AG284" s="46"/>
      <c r="AH284" s="46"/>
      <c r="AI284" s="46"/>
      <c r="AJ284" s="46"/>
      <c r="AK284" s="50"/>
      <c r="AL284" s="47"/>
      <c r="AM284" s="46"/>
      <c r="AN284" s="46"/>
      <c r="AO284" s="46"/>
      <c r="AP284" s="46"/>
      <c r="AQ284" s="46"/>
      <c r="AR284" s="46"/>
      <c r="AS284" s="46"/>
      <c r="AT284" s="46"/>
      <c r="AU284" s="46"/>
      <c r="AV284" s="46"/>
      <c r="AW284" s="46"/>
      <c r="AX284" s="46"/>
      <c r="AY284" s="46"/>
      <c r="AZ284" s="46"/>
      <c r="BA284" s="46"/>
      <c r="BB284" s="46"/>
      <c r="BC284" s="46"/>
      <c r="BD284" s="46"/>
      <c r="BE284" s="46"/>
    </row>
    <row r="285" spans="1:57" x14ac:dyDescent="0.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c r="AA285" s="46"/>
      <c r="AB285" s="46"/>
      <c r="AC285" s="46"/>
      <c r="AD285" s="46"/>
      <c r="AE285" s="46"/>
      <c r="AF285" s="46"/>
      <c r="AG285" s="46"/>
      <c r="AH285" s="46"/>
      <c r="AI285" s="46"/>
      <c r="AJ285" s="46"/>
      <c r="AK285" s="50"/>
      <c r="AL285" s="47"/>
      <c r="AM285" s="46"/>
      <c r="AN285" s="46"/>
      <c r="AO285" s="46"/>
      <c r="AP285" s="46"/>
      <c r="AQ285" s="46"/>
      <c r="AR285" s="46"/>
      <c r="AS285" s="46"/>
      <c r="AT285" s="46"/>
      <c r="AU285" s="46"/>
      <c r="AV285" s="46"/>
      <c r="AW285" s="46"/>
      <c r="AX285" s="46"/>
      <c r="AY285" s="46"/>
      <c r="AZ285" s="46"/>
      <c r="BA285" s="46"/>
      <c r="BB285" s="46"/>
      <c r="BC285" s="46"/>
      <c r="BD285" s="46"/>
      <c r="BE285" s="46"/>
    </row>
    <row r="286" spans="1:57" x14ac:dyDescent="0.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c r="AA286" s="46"/>
      <c r="AB286" s="46"/>
      <c r="AC286" s="46"/>
      <c r="AD286" s="46"/>
      <c r="AE286" s="46"/>
      <c r="AF286" s="46"/>
      <c r="AG286" s="46"/>
      <c r="AH286" s="46"/>
      <c r="AI286" s="46"/>
      <c r="AJ286" s="46"/>
      <c r="AK286" s="50"/>
      <c r="AL286" s="47"/>
      <c r="AM286" s="46"/>
      <c r="AN286" s="46"/>
      <c r="AO286" s="46"/>
      <c r="AP286" s="46"/>
      <c r="AQ286" s="46"/>
      <c r="AR286" s="46"/>
      <c r="AS286" s="46"/>
      <c r="AT286" s="46"/>
      <c r="AU286" s="46"/>
      <c r="AV286" s="46"/>
      <c r="AW286" s="46"/>
      <c r="AX286" s="46"/>
      <c r="AY286" s="46"/>
      <c r="AZ286" s="46"/>
      <c r="BA286" s="46"/>
      <c r="BB286" s="46"/>
      <c r="BC286" s="46"/>
      <c r="BD286" s="46"/>
      <c r="BE286" s="46"/>
    </row>
    <row r="287" spans="1:57" x14ac:dyDescent="0.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c r="AA287" s="46"/>
      <c r="AB287" s="46"/>
      <c r="AC287" s="46"/>
      <c r="AD287" s="46"/>
      <c r="AE287" s="46"/>
      <c r="AF287" s="46"/>
      <c r="AG287" s="46"/>
      <c r="AH287" s="46"/>
      <c r="AI287" s="46"/>
      <c r="AJ287" s="46"/>
      <c r="AK287" s="50"/>
      <c r="AL287" s="47"/>
      <c r="AM287" s="46"/>
      <c r="AN287" s="46"/>
      <c r="AO287" s="46"/>
      <c r="AP287" s="46"/>
      <c r="AQ287" s="46"/>
      <c r="AR287" s="46"/>
      <c r="AS287" s="46"/>
      <c r="AT287" s="46"/>
      <c r="AU287" s="46"/>
      <c r="AV287" s="46"/>
      <c r="AW287" s="46"/>
      <c r="AX287" s="46"/>
      <c r="AY287" s="46"/>
      <c r="AZ287" s="46"/>
      <c r="BA287" s="46"/>
      <c r="BB287" s="46"/>
      <c r="BC287" s="46"/>
      <c r="BD287" s="46"/>
      <c r="BE287" s="46"/>
    </row>
    <row r="288" spans="1:57" x14ac:dyDescent="0.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c r="AA288" s="46"/>
      <c r="AB288" s="46"/>
      <c r="AC288" s="46"/>
      <c r="AD288" s="46"/>
      <c r="AE288" s="46"/>
      <c r="AF288" s="46"/>
      <c r="AG288" s="46"/>
      <c r="AH288" s="46"/>
      <c r="AI288" s="46"/>
      <c r="AJ288" s="46"/>
      <c r="AK288" s="50"/>
      <c r="AL288" s="47"/>
      <c r="AM288" s="46"/>
      <c r="AN288" s="46"/>
      <c r="AO288" s="46"/>
      <c r="AP288" s="46"/>
      <c r="AQ288" s="46"/>
      <c r="AR288" s="46"/>
      <c r="AS288" s="46"/>
      <c r="AT288" s="46"/>
      <c r="AU288" s="46"/>
      <c r="AV288" s="46"/>
      <c r="AW288" s="46"/>
      <c r="AX288" s="46"/>
      <c r="AY288" s="46"/>
      <c r="AZ288" s="46"/>
      <c r="BA288" s="46"/>
      <c r="BB288" s="46"/>
      <c r="BC288" s="46"/>
      <c r="BD288" s="46"/>
      <c r="BE288" s="46"/>
    </row>
    <row r="289" spans="1:57" x14ac:dyDescent="0.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c r="AA289" s="46"/>
      <c r="AB289" s="46"/>
      <c r="AC289" s="46"/>
      <c r="AD289" s="46"/>
      <c r="AE289" s="46"/>
      <c r="AF289" s="46"/>
      <c r="AG289" s="46"/>
      <c r="AH289" s="46"/>
      <c r="AI289" s="46"/>
      <c r="AJ289" s="46"/>
      <c r="AK289" s="50"/>
      <c r="AL289" s="47"/>
      <c r="AM289" s="46"/>
      <c r="AN289" s="46"/>
      <c r="AO289" s="46"/>
      <c r="AP289" s="46"/>
      <c r="AQ289" s="46"/>
      <c r="AR289" s="46"/>
      <c r="AS289" s="46"/>
      <c r="AT289" s="46"/>
      <c r="AU289" s="46"/>
      <c r="AV289" s="46"/>
      <c r="AW289" s="46"/>
      <c r="AX289" s="46"/>
      <c r="AY289" s="46"/>
      <c r="AZ289" s="46"/>
      <c r="BA289" s="46"/>
      <c r="BB289" s="46"/>
      <c r="BC289" s="46"/>
      <c r="BD289" s="46"/>
      <c r="BE289" s="46"/>
    </row>
    <row r="290" spans="1:57" x14ac:dyDescent="0.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c r="AA290" s="46"/>
      <c r="AB290" s="46"/>
      <c r="AC290" s="46"/>
      <c r="AD290" s="46"/>
      <c r="AE290" s="46"/>
      <c r="AF290" s="46"/>
      <c r="AG290" s="46"/>
      <c r="AH290" s="46"/>
      <c r="AI290" s="46"/>
      <c r="AJ290" s="46"/>
      <c r="AK290" s="50"/>
      <c r="AL290" s="47"/>
      <c r="AM290" s="46"/>
      <c r="AN290" s="46"/>
      <c r="AO290" s="46"/>
      <c r="AP290" s="46"/>
      <c r="AQ290" s="46"/>
      <c r="AR290" s="46"/>
      <c r="AS290" s="46"/>
      <c r="AT290" s="46"/>
      <c r="AU290" s="46"/>
      <c r="AV290" s="46"/>
      <c r="AW290" s="46"/>
      <c r="AX290" s="46"/>
      <c r="AY290" s="46"/>
      <c r="AZ290" s="46"/>
      <c r="BA290" s="46"/>
      <c r="BB290" s="46"/>
      <c r="BC290" s="46"/>
      <c r="BD290" s="46"/>
      <c r="BE290" s="46"/>
    </row>
    <row r="291" spans="1:57" x14ac:dyDescent="0.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c r="AA291" s="46"/>
      <c r="AB291" s="46"/>
      <c r="AC291" s="46"/>
      <c r="AD291" s="46"/>
      <c r="AE291" s="46"/>
      <c r="AF291" s="46"/>
      <c r="AG291" s="46"/>
      <c r="AH291" s="46"/>
      <c r="AI291" s="46"/>
      <c r="AJ291" s="46"/>
      <c r="AK291" s="50"/>
      <c r="AL291" s="47"/>
      <c r="AM291" s="46"/>
      <c r="AN291" s="46"/>
      <c r="AO291" s="46"/>
      <c r="AP291" s="46"/>
      <c r="AQ291" s="46"/>
      <c r="AR291" s="46"/>
      <c r="AS291" s="46"/>
      <c r="AT291" s="46"/>
      <c r="AU291" s="46"/>
      <c r="AV291" s="46"/>
      <c r="AW291" s="46"/>
      <c r="AX291" s="46"/>
      <c r="AY291" s="46"/>
      <c r="AZ291" s="46"/>
      <c r="BA291" s="46"/>
      <c r="BB291" s="46"/>
      <c r="BC291" s="46"/>
      <c r="BD291" s="46"/>
      <c r="BE291" s="46"/>
    </row>
    <row r="292" spans="1:57" x14ac:dyDescent="0.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c r="AA292" s="46"/>
      <c r="AB292" s="46"/>
      <c r="AC292" s="46"/>
      <c r="AD292" s="46"/>
      <c r="AE292" s="46"/>
      <c r="AF292" s="46"/>
      <c r="AG292" s="46"/>
      <c r="AH292" s="46"/>
      <c r="AI292" s="46"/>
      <c r="AJ292" s="46"/>
      <c r="AK292" s="50"/>
      <c r="AL292" s="47"/>
      <c r="AM292" s="46"/>
      <c r="AN292" s="46"/>
      <c r="AO292" s="46"/>
      <c r="AP292" s="46"/>
      <c r="AQ292" s="46"/>
      <c r="AR292" s="46"/>
      <c r="AS292" s="46"/>
      <c r="AT292" s="46"/>
      <c r="AU292" s="46"/>
      <c r="AV292" s="46"/>
      <c r="AW292" s="46"/>
      <c r="AX292" s="46"/>
      <c r="AY292" s="46"/>
      <c r="AZ292" s="46"/>
      <c r="BA292" s="46"/>
      <c r="BB292" s="46"/>
      <c r="BC292" s="46"/>
      <c r="BD292" s="46"/>
      <c r="BE292" s="46"/>
    </row>
    <row r="293" spans="1:57" x14ac:dyDescent="0.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c r="AA293" s="46"/>
      <c r="AB293" s="46"/>
      <c r="AC293" s="46"/>
      <c r="AD293" s="46"/>
      <c r="AE293" s="46"/>
      <c r="AF293" s="46"/>
      <c r="AG293" s="46"/>
      <c r="AH293" s="46"/>
      <c r="AI293" s="46"/>
      <c r="AJ293" s="46"/>
      <c r="AK293" s="50"/>
      <c r="AL293" s="47"/>
      <c r="AM293" s="46"/>
      <c r="AN293" s="46"/>
      <c r="AO293" s="46"/>
      <c r="AP293" s="46"/>
      <c r="AQ293" s="46"/>
      <c r="AR293" s="46"/>
      <c r="AS293" s="46"/>
      <c r="AT293" s="46"/>
      <c r="AU293" s="46"/>
      <c r="AV293" s="46"/>
      <c r="AW293" s="46"/>
      <c r="AX293" s="46"/>
      <c r="AY293" s="46"/>
      <c r="AZ293" s="46"/>
      <c r="BA293" s="46"/>
      <c r="BB293" s="46"/>
      <c r="BC293" s="46"/>
      <c r="BD293" s="46"/>
      <c r="BE293" s="46"/>
    </row>
    <row r="294" spans="1:57" x14ac:dyDescent="0.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c r="AA294" s="46"/>
      <c r="AB294" s="46"/>
      <c r="AC294" s="46"/>
      <c r="AD294" s="46"/>
      <c r="AE294" s="46"/>
      <c r="AF294" s="46"/>
      <c r="AG294" s="46"/>
      <c r="AH294" s="46"/>
      <c r="AI294" s="46"/>
      <c r="AJ294" s="46"/>
      <c r="AK294" s="50"/>
      <c r="AL294" s="47"/>
      <c r="AM294" s="46"/>
      <c r="AN294" s="46"/>
      <c r="AO294" s="46"/>
      <c r="AP294" s="46"/>
      <c r="AQ294" s="46"/>
      <c r="AR294" s="46"/>
      <c r="AS294" s="46"/>
      <c r="AT294" s="46"/>
      <c r="AU294" s="46"/>
      <c r="AV294" s="46"/>
      <c r="AW294" s="46"/>
      <c r="AX294" s="46"/>
      <c r="AY294" s="46"/>
      <c r="AZ294" s="46"/>
      <c r="BA294" s="46"/>
      <c r="BB294" s="46"/>
      <c r="BC294" s="46"/>
      <c r="BD294" s="46"/>
      <c r="BE294" s="46"/>
    </row>
    <row r="295" spans="1:57" x14ac:dyDescent="0.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c r="AA295" s="46"/>
      <c r="AB295" s="46"/>
      <c r="AC295" s="46"/>
      <c r="AD295" s="46"/>
      <c r="AE295" s="46"/>
      <c r="AF295" s="46"/>
      <c r="AG295" s="46"/>
      <c r="AH295" s="46"/>
      <c r="AI295" s="46"/>
      <c r="AJ295" s="46"/>
      <c r="AK295" s="50"/>
      <c r="AL295" s="47"/>
      <c r="AM295" s="46"/>
      <c r="AN295" s="46"/>
      <c r="AO295" s="46"/>
      <c r="AP295" s="46"/>
      <c r="AQ295" s="46"/>
      <c r="AR295" s="46"/>
      <c r="AS295" s="46"/>
      <c r="AT295" s="46"/>
      <c r="AU295" s="46"/>
      <c r="AV295" s="46"/>
      <c r="AW295" s="46"/>
      <c r="AX295" s="46"/>
      <c r="AY295" s="46"/>
      <c r="AZ295" s="46"/>
      <c r="BA295" s="46"/>
      <c r="BB295" s="46"/>
      <c r="BC295" s="46"/>
      <c r="BD295" s="46"/>
      <c r="BE295" s="46"/>
    </row>
    <row r="296" spans="1:57" x14ac:dyDescent="0.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c r="AA296" s="46"/>
      <c r="AB296" s="46"/>
      <c r="AC296" s="46"/>
      <c r="AD296" s="46"/>
      <c r="AE296" s="46"/>
      <c r="AF296" s="46"/>
      <c r="AG296" s="46"/>
      <c r="AH296" s="46"/>
      <c r="AI296" s="46"/>
      <c r="AJ296" s="46"/>
      <c r="AK296" s="50"/>
      <c r="AL296" s="47"/>
      <c r="AM296" s="46"/>
      <c r="AN296" s="46"/>
      <c r="AO296" s="46"/>
      <c r="AP296" s="46"/>
      <c r="AQ296" s="46"/>
      <c r="AR296" s="46"/>
      <c r="AS296" s="46"/>
      <c r="AT296" s="46"/>
      <c r="AU296" s="46"/>
      <c r="AV296" s="46"/>
      <c r="AW296" s="46"/>
      <c r="AX296" s="46"/>
      <c r="AY296" s="46"/>
      <c r="AZ296" s="46"/>
      <c r="BA296" s="46"/>
      <c r="BB296" s="46"/>
      <c r="BC296" s="46"/>
      <c r="BD296" s="46"/>
      <c r="BE296" s="46"/>
    </row>
    <row r="297" spans="1:57" x14ac:dyDescent="0.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c r="AA297" s="46"/>
      <c r="AB297" s="46"/>
      <c r="AC297" s="46"/>
      <c r="AD297" s="46"/>
      <c r="AE297" s="46"/>
      <c r="AF297" s="46"/>
      <c r="AG297" s="46"/>
      <c r="AH297" s="46"/>
      <c r="AI297" s="46"/>
      <c r="AJ297" s="46"/>
      <c r="AK297" s="50"/>
      <c r="AL297" s="47"/>
      <c r="AM297" s="46"/>
      <c r="AN297" s="46"/>
      <c r="AO297" s="46"/>
      <c r="AP297" s="46"/>
      <c r="AQ297" s="46"/>
      <c r="AR297" s="46"/>
      <c r="AS297" s="46"/>
      <c r="AT297" s="46"/>
      <c r="AU297" s="46"/>
      <c r="AV297" s="46"/>
      <c r="AW297" s="46"/>
      <c r="AX297" s="46"/>
      <c r="AY297" s="46"/>
      <c r="AZ297" s="46"/>
      <c r="BA297" s="46"/>
      <c r="BB297" s="46"/>
      <c r="BC297" s="46"/>
      <c r="BD297" s="46"/>
      <c r="BE297" s="46"/>
    </row>
    <row r="298" spans="1:57" x14ac:dyDescent="0.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c r="AA298" s="46"/>
      <c r="AB298" s="46"/>
      <c r="AC298" s="46"/>
      <c r="AD298" s="46"/>
      <c r="AE298" s="46"/>
      <c r="AF298" s="46"/>
      <c r="AG298" s="46"/>
      <c r="AH298" s="46"/>
      <c r="AI298" s="46"/>
      <c r="AJ298" s="46"/>
      <c r="AK298" s="50"/>
      <c r="AL298" s="47"/>
      <c r="AM298" s="46"/>
      <c r="AN298" s="46"/>
      <c r="AO298" s="46"/>
      <c r="AP298" s="46"/>
      <c r="AQ298" s="46"/>
      <c r="AR298" s="46"/>
      <c r="AS298" s="46"/>
      <c r="AT298" s="46"/>
      <c r="AU298" s="46"/>
      <c r="AV298" s="46"/>
      <c r="AW298" s="46"/>
      <c r="AX298" s="46"/>
      <c r="AY298" s="46"/>
      <c r="AZ298" s="46"/>
      <c r="BA298" s="46"/>
      <c r="BB298" s="46"/>
      <c r="BC298" s="46"/>
      <c r="BD298" s="46"/>
      <c r="BE298" s="46"/>
    </row>
    <row r="299" spans="1:57" x14ac:dyDescent="0.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c r="AA299" s="46"/>
      <c r="AB299" s="46"/>
      <c r="AC299" s="46"/>
      <c r="AD299" s="46"/>
      <c r="AE299" s="46"/>
      <c r="AF299" s="46"/>
      <c r="AG299" s="46"/>
      <c r="AH299" s="46"/>
      <c r="AI299" s="46"/>
      <c r="AJ299" s="46"/>
      <c r="AK299" s="50"/>
      <c r="AL299" s="47"/>
      <c r="AM299" s="46"/>
      <c r="AN299" s="46"/>
      <c r="AO299" s="46"/>
      <c r="AP299" s="46"/>
      <c r="AQ299" s="46"/>
      <c r="AR299" s="46"/>
      <c r="AS299" s="46"/>
      <c r="AT299" s="46"/>
      <c r="AU299" s="46"/>
      <c r="AV299" s="46"/>
      <c r="AW299" s="46"/>
      <c r="AX299" s="46"/>
      <c r="AY299" s="46"/>
      <c r="AZ299" s="46"/>
      <c r="BA299" s="46"/>
      <c r="BB299" s="46"/>
      <c r="BC299" s="46"/>
      <c r="BD299" s="46"/>
      <c r="BE299" s="46"/>
    </row>
    <row r="300" spans="1:57" x14ac:dyDescent="0.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50"/>
      <c r="AL300" s="47"/>
      <c r="AM300" s="46"/>
      <c r="AN300" s="46"/>
      <c r="AO300" s="46"/>
      <c r="AP300" s="46"/>
      <c r="AQ300" s="46"/>
      <c r="AR300" s="46"/>
      <c r="AS300" s="46"/>
      <c r="AT300" s="46"/>
      <c r="AU300" s="46"/>
      <c r="AV300" s="46"/>
      <c r="AW300" s="46"/>
      <c r="AX300" s="46"/>
      <c r="AY300" s="46"/>
      <c r="AZ300" s="46"/>
      <c r="BA300" s="46"/>
      <c r="BB300" s="46"/>
      <c r="BC300" s="46"/>
      <c r="BD300" s="46"/>
      <c r="BE300" s="46"/>
    </row>
    <row r="301" spans="1:57" x14ac:dyDescent="0.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c r="AA301" s="46"/>
      <c r="AB301" s="46"/>
      <c r="AC301" s="46"/>
      <c r="AD301" s="46"/>
      <c r="AE301" s="46"/>
      <c r="AF301" s="46"/>
      <c r="AG301" s="46"/>
      <c r="AH301" s="46"/>
      <c r="AI301" s="46"/>
      <c r="AJ301" s="46"/>
      <c r="AK301" s="50"/>
      <c r="AL301" s="47"/>
      <c r="AM301" s="46"/>
      <c r="AN301" s="46"/>
      <c r="AO301" s="46"/>
      <c r="AP301" s="46"/>
      <c r="AQ301" s="46"/>
      <c r="AR301" s="46"/>
      <c r="AS301" s="46"/>
      <c r="AT301" s="46"/>
      <c r="AU301" s="46"/>
      <c r="AV301" s="46"/>
      <c r="AW301" s="46"/>
      <c r="AX301" s="46"/>
      <c r="AY301" s="46"/>
      <c r="AZ301" s="46"/>
      <c r="BA301" s="46"/>
      <c r="BB301" s="46"/>
      <c r="BC301" s="46"/>
      <c r="BD301" s="46"/>
      <c r="BE301" s="46"/>
    </row>
    <row r="302" spans="1:57" x14ac:dyDescent="0.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c r="AA302" s="46"/>
      <c r="AB302" s="46"/>
      <c r="AC302" s="46"/>
      <c r="AD302" s="46"/>
      <c r="AE302" s="46"/>
      <c r="AF302" s="46"/>
      <c r="AG302" s="46"/>
      <c r="AH302" s="46"/>
      <c r="AI302" s="46"/>
      <c r="AJ302" s="46"/>
      <c r="AK302" s="50"/>
      <c r="AL302" s="47"/>
      <c r="AM302" s="46"/>
      <c r="AN302" s="46"/>
      <c r="AO302" s="46"/>
      <c r="AP302" s="46"/>
      <c r="AQ302" s="46"/>
      <c r="AR302" s="46"/>
      <c r="AS302" s="46"/>
      <c r="AT302" s="46"/>
      <c r="AU302" s="46"/>
      <c r="AV302" s="46"/>
      <c r="AW302" s="46"/>
      <c r="AX302" s="46"/>
      <c r="AY302" s="46"/>
      <c r="AZ302" s="46"/>
      <c r="BA302" s="46"/>
      <c r="BB302" s="46"/>
      <c r="BC302" s="46"/>
      <c r="BD302" s="46"/>
      <c r="BE302" s="46"/>
    </row>
    <row r="303" spans="1:57" x14ac:dyDescent="0.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c r="AA303" s="46"/>
      <c r="AB303" s="46"/>
      <c r="AC303" s="46"/>
      <c r="AD303" s="46"/>
      <c r="AE303" s="46"/>
      <c r="AF303" s="46"/>
      <c r="AG303" s="46"/>
      <c r="AH303" s="46"/>
      <c r="AI303" s="46"/>
      <c r="AJ303" s="46"/>
      <c r="AK303" s="50"/>
      <c r="AL303" s="47"/>
      <c r="AM303" s="46"/>
      <c r="AN303" s="46"/>
      <c r="AO303" s="46"/>
      <c r="AP303" s="46"/>
      <c r="AQ303" s="46"/>
      <c r="AR303" s="46"/>
      <c r="AS303" s="46"/>
      <c r="AT303" s="46"/>
      <c r="AU303" s="46"/>
      <c r="AV303" s="46"/>
      <c r="AW303" s="46"/>
      <c r="AX303" s="46"/>
      <c r="AY303" s="46"/>
      <c r="AZ303" s="46"/>
      <c r="BA303" s="46"/>
      <c r="BB303" s="46"/>
      <c r="BC303" s="46"/>
      <c r="BD303" s="46"/>
      <c r="BE303" s="46"/>
    </row>
    <row r="304" spans="1:57" x14ac:dyDescent="0.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c r="AA304" s="46"/>
      <c r="AB304" s="46"/>
      <c r="AC304" s="46"/>
      <c r="AD304" s="46"/>
      <c r="AE304" s="46"/>
      <c r="AF304" s="46"/>
      <c r="AG304" s="46"/>
      <c r="AH304" s="46"/>
      <c r="AI304" s="46"/>
      <c r="AJ304" s="46"/>
      <c r="AK304" s="50"/>
      <c r="AL304" s="47"/>
      <c r="AM304" s="46"/>
      <c r="AN304" s="46"/>
      <c r="AO304" s="46"/>
      <c r="AP304" s="46"/>
      <c r="AQ304" s="46"/>
      <c r="AR304" s="46"/>
      <c r="AS304" s="46"/>
      <c r="AT304" s="46"/>
      <c r="AU304" s="46"/>
      <c r="AV304" s="46"/>
      <c r="AW304" s="46"/>
      <c r="AX304" s="46"/>
      <c r="AY304" s="46"/>
      <c r="AZ304" s="46"/>
      <c r="BA304" s="46"/>
      <c r="BB304" s="46"/>
      <c r="BC304" s="46"/>
      <c r="BD304" s="46"/>
      <c r="BE304" s="46"/>
    </row>
    <row r="305" spans="1:57" x14ac:dyDescent="0.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c r="AA305" s="46"/>
      <c r="AB305" s="46"/>
      <c r="AC305" s="46"/>
      <c r="AD305" s="46"/>
      <c r="AE305" s="46"/>
      <c r="AF305" s="46"/>
      <c r="AG305" s="46"/>
      <c r="AH305" s="46"/>
      <c r="AI305" s="46"/>
      <c r="AJ305" s="46"/>
      <c r="AK305" s="50"/>
      <c r="AL305" s="47"/>
      <c r="AM305" s="46"/>
      <c r="AN305" s="46"/>
      <c r="AO305" s="46"/>
      <c r="AP305" s="46"/>
      <c r="AQ305" s="46"/>
      <c r="AR305" s="46"/>
      <c r="AS305" s="46"/>
      <c r="AT305" s="46"/>
      <c r="AU305" s="46"/>
      <c r="AV305" s="46"/>
      <c r="AW305" s="46"/>
      <c r="AX305" s="46"/>
      <c r="AY305" s="46"/>
      <c r="AZ305" s="46"/>
      <c r="BA305" s="46"/>
      <c r="BB305" s="46"/>
      <c r="BC305" s="46"/>
      <c r="BD305" s="46"/>
      <c r="BE305" s="46"/>
    </row>
    <row r="306" spans="1:57" x14ac:dyDescent="0.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c r="AA306" s="46"/>
      <c r="AB306" s="46"/>
      <c r="AC306" s="46"/>
      <c r="AD306" s="46"/>
      <c r="AE306" s="46"/>
      <c r="AF306" s="46"/>
      <c r="AG306" s="46"/>
      <c r="AH306" s="46"/>
      <c r="AI306" s="46"/>
      <c r="AJ306" s="46"/>
      <c r="AK306" s="50"/>
      <c r="AL306" s="47"/>
      <c r="AM306" s="46"/>
      <c r="AN306" s="46"/>
      <c r="AO306" s="46"/>
      <c r="AP306" s="46"/>
      <c r="AQ306" s="46"/>
      <c r="AR306" s="46"/>
      <c r="AS306" s="46"/>
      <c r="AT306" s="46"/>
      <c r="AU306" s="46"/>
      <c r="AV306" s="46"/>
      <c r="AW306" s="46"/>
      <c r="AX306" s="46"/>
      <c r="AY306" s="46"/>
      <c r="AZ306" s="46"/>
      <c r="BA306" s="46"/>
      <c r="BB306" s="46"/>
      <c r="BC306" s="46"/>
      <c r="BD306" s="46"/>
      <c r="BE306" s="46"/>
    </row>
    <row r="307" spans="1:57" x14ac:dyDescent="0.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c r="AA307" s="46"/>
      <c r="AB307" s="46"/>
      <c r="AC307" s="46"/>
      <c r="AD307" s="46"/>
      <c r="AE307" s="46"/>
      <c r="AF307" s="46"/>
      <c r="AG307" s="46"/>
      <c r="AH307" s="46"/>
      <c r="AI307" s="46"/>
      <c r="AJ307" s="46"/>
      <c r="AK307" s="50"/>
      <c r="AL307" s="47"/>
      <c r="AM307" s="46"/>
      <c r="AN307" s="46"/>
      <c r="AO307" s="46"/>
      <c r="AP307" s="46"/>
      <c r="AQ307" s="46"/>
      <c r="AR307" s="46"/>
      <c r="AS307" s="46"/>
      <c r="AT307" s="46"/>
      <c r="AU307" s="46"/>
      <c r="AV307" s="46"/>
      <c r="AW307" s="46"/>
      <c r="AX307" s="46"/>
      <c r="AY307" s="46"/>
      <c r="AZ307" s="46"/>
      <c r="BA307" s="46"/>
      <c r="BB307" s="46"/>
      <c r="BC307" s="46"/>
      <c r="BD307" s="46"/>
      <c r="BE307" s="46"/>
    </row>
    <row r="308" spans="1:57" x14ac:dyDescent="0.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c r="AA308" s="46"/>
      <c r="AB308" s="46"/>
      <c r="AC308" s="46"/>
      <c r="AD308" s="46"/>
      <c r="AE308" s="46"/>
      <c r="AF308" s="46"/>
      <c r="AG308" s="46"/>
      <c r="AH308" s="46"/>
      <c r="AI308" s="46"/>
      <c r="AJ308" s="46"/>
      <c r="AK308" s="50"/>
      <c r="AL308" s="47"/>
      <c r="AM308" s="46"/>
      <c r="AN308" s="46"/>
      <c r="AO308" s="46"/>
      <c r="AP308" s="46"/>
      <c r="AQ308" s="46"/>
      <c r="AR308" s="46"/>
      <c r="AS308" s="46"/>
      <c r="AT308" s="46"/>
      <c r="AU308" s="46"/>
      <c r="AV308" s="46"/>
      <c r="AW308" s="46"/>
      <c r="AX308" s="46"/>
      <c r="AY308" s="46"/>
      <c r="AZ308" s="46"/>
      <c r="BA308" s="46"/>
      <c r="BB308" s="46"/>
      <c r="BC308" s="46"/>
      <c r="BD308" s="46"/>
      <c r="BE308" s="46"/>
    </row>
    <row r="309" spans="1:57" x14ac:dyDescent="0.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c r="AA309" s="46"/>
      <c r="AB309" s="46"/>
      <c r="AC309" s="46"/>
      <c r="AD309" s="46"/>
      <c r="AE309" s="46"/>
      <c r="AF309" s="46"/>
      <c r="AG309" s="46"/>
      <c r="AH309" s="46"/>
      <c r="AI309" s="46"/>
      <c r="AJ309" s="46"/>
      <c r="AK309" s="50"/>
      <c r="AL309" s="47"/>
      <c r="AM309" s="46"/>
      <c r="AN309" s="46"/>
      <c r="AO309" s="46"/>
      <c r="AP309" s="46"/>
      <c r="AQ309" s="46"/>
      <c r="AR309" s="46"/>
      <c r="AS309" s="46"/>
      <c r="AT309" s="46"/>
      <c r="AU309" s="46"/>
      <c r="AV309" s="46"/>
      <c r="AW309" s="46"/>
      <c r="AX309" s="46"/>
      <c r="AY309" s="46"/>
      <c r="AZ309" s="46"/>
      <c r="BA309" s="46"/>
      <c r="BB309" s="46"/>
      <c r="BC309" s="46"/>
      <c r="BD309" s="46"/>
      <c r="BE309" s="46"/>
    </row>
    <row r="310" spans="1:57" x14ac:dyDescent="0.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c r="AA310" s="46"/>
      <c r="AB310" s="46"/>
      <c r="AC310" s="46"/>
      <c r="AD310" s="46"/>
      <c r="AE310" s="46"/>
      <c r="AF310" s="46"/>
      <c r="AG310" s="46"/>
      <c r="AH310" s="46"/>
      <c r="AI310" s="46"/>
      <c r="AJ310" s="46"/>
      <c r="AK310" s="50"/>
      <c r="AL310" s="47"/>
      <c r="AM310" s="46"/>
      <c r="AN310" s="46"/>
      <c r="AO310" s="46"/>
      <c r="AP310" s="46"/>
      <c r="AQ310" s="46"/>
      <c r="AR310" s="46"/>
      <c r="AS310" s="46"/>
      <c r="AT310" s="46"/>
      <c r="AU310" s="46"/>
      <c r="AV310" s="46"/>
      <c r="AW310" s="46"/>
      <c r="AX310" s="46"/>
      <c r="AY310" s="46"/>
      <c r="AZ310" s="46"/>
      <c r="BA310" s="46"/>
      <c r="BB310" s="46"/>
      <c r="BC310" s="46"/>
      <c r="BD310" s="46"/>
      <c r="BE310" s="46"/>
    </row>
    <row r="311" spans="1:57" x14ac:dyDescent="0.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c r="AA311" s="46"/>
      <c r="AB311" s="46"/>
      <c r="AC311" s="46"/>
      <c r="AD311" s="46"/>
      <c r="AE311" s="46"/>
      <c r="AF311" s="46"/>
      <c r="AG311" s="46"/>
      <c r="AH311" s="46"/>
      <c r="AI311" s="46"/>
      <c r="AJ311" s="46"/>
      <c r="AK311" s="50"/>
      <c r="AL311" s="47"/>
      <c r="AM311" s="46"/>
      <c r="AN311" s="46"/>
      <c r="AO311" s="46"/>
      <c r="AP311" s="46"/>
      <c r="AQ311" s="46"/>
      <c r="AR311" s="46"/>
      <c r="AS311" s="46"/>
      <c r="AT311" s="46"/>
      <c r="AU311" s="46"/>
      <c r="AV311" s="46"/>
      <c r="AW311" s="46"/>
      <c r="AX311" s="46"/>
      <c r="AY311" s="46"/>
      <c r="AZ311" s="46"/>
      <c r="BA311" s="46"/>
      <c r="BB311" s="46"/>
      <c r="BC311" s="46"/>
      <c r="BD311" s="46"/>
      <c r="BE311" s="46"/>
    </row>
    <row r="312" spans="1:57" x14ac:dyDescent="0.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c r="AA312" s="46"/>
      <c r="AB312" s="46"/>
      <c r="AC312" s="46"/>
      <c r="AD312" s="46"/>
      <c r="AE312" s="46"/>
      <c r="AF312" s="46"/>
      <c r="AG312" s="46"/>
      <c r="AH312" s="46"/>
      <c r="AI312" s="46"/>
      <c r="AJ312" s="46"/>
      <c r="AK312" s="50"/>
      <c r="AL312" s="47"/>
      <c r="AM312" s="46"/>
      <c r="AN312" s="46"/>
      <c r="AO312" s="46"/>
      <c r="AP312" s="46"/>
      <c r="AQ312" s="46"/>
      <c r="AR312" s="46"/>
      <c r="AS312" s="46"/>
      <c r="AT312" s="46"/>
      <c r="AU312" s="46"/>
      <c r="AV312" s="46"/>
      <c r="AW312" s="46"/>
      <c r="AX312" s="46"/>
      <c r="AY312" s="46"/>
      <c r="AZ312" s="46"/>
      <c r="BA312" s="46"/>
      <c r="BB312" s="46"/>
      <c r="BC312" s="46"/>
      <c r="BD312" s="46"/>
      <c r="BE312" s="46"/>
    </row>
    <row r="313" spans="1:57" x14ac:dyDescent="0.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c r="AA313" s="46"/>
      <c r="AB313" s="46"/>
      <c r="AC313" s="46"/>
      <c r="AD313" s="46"/>
      <c r="AE313" s="46"/>
      <c r="AF313" s="46"/>
      <c r="AG313" s="46"/>
      <c r="AH313" s="46"/>
      <c r="AI313" s="46"/>
      <c r="AJ313" s="46"/>
      <c r="AK313" s="50"/>
      <c r="AL313" s="47"/>
      <c r="AM313" s="46"/>
      <c r="AN313" s="46"/>
      <c r="AO313" s="46"/>
      <c r="AP313" s="46"/>
      <c r="AQ313" s="46"/>
      <c r="AR313" s="46"/>
      <c r="AS313" s="46"/>
      <c r="AT313" s="46"/>
      <c r="AU313" s="46"/>
      <c r="AV313" s="46"/>
      <c r="AW313" s="46"/>
      <c r="AX313" s="46"/>
      <c r="AY313" s="46"/>
      <c r="AZ313" s="46"/>
      <c r="BA313" s="46"/>
      <c r="BB313" s="46"/>
      <c r="BC313" s="46"/>
      <c r="BD313" s="46"/>
      <c r="BE313" s="46"/>
    </row>
    <row r="314" spans="1:57" x14ac:dyDescent="0.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c r="AA314" s="46"/>
      <c r="AB314" s="46"/>
      <c r="AC314" s="46"/>
      <c r="AD314" s="46"/>
      <c r="AE314" s="46"/>
      <c r="AF314" s="46"/>
      <c r="AG314" s="46"/>
      <c r="AH314" s="46"/>
      <c r="AI314" s="46"/>
      <c r="AJ314" s="46"/>
      <c r="AK314" s="50"/>
      <c r="AL314" s="47"/>
      <c r="AM314" s="46"/>
      <c r="AN314" s="46"/>
      <c r="AO314" s="46"/>
      <c r="AP314" s="46"/>
      <c r="AQ314" s="46"/>
      <c r="AR314" s="46"/>
      <c r="AS314" s="46"/>
      <c r="AT314" s="46"/>
      <c r="AU314" s="46"/>
      <c r="AV314" s="46"/>
      <c r="AW314" s="46"/>
      <c r="AX314" s="46"/>
      <c r="AY314" s="46"/>
      <c r="AZ314" s="46"/>
      <c r="BA314" s="46"/>
      <c r="BB314" s="46"/>
      <c r="BC314" s="46"/>
      <c r="BD314" s="46"/>
      <c r="BE314" s="46"/>
    </row>
    <row r="315" spans="1:57" x14ac:dyDescent="0.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c r="AA315" s="46"/>
      <c r="AB315" s="46"/>
      <c r="AC315" s="46"/>
      <c r="AD315" s="46"/>
      <c r="AE315" s="46"/>
      <c r="AF315" s="46"/>
      <c r="AG315" s="46"/>
      <c r="AH315" s="46"/>
      <c r="AI315" s="46"/>
      <c r="AJ315" s="46"/>
      <c r="AK315" s="50"/>
      <c r="AL315" s="47"/>
      <c r="AM315" s="46"/>
      <c r="AN315" s="46"/>
      <c r="AO315" s="46"/>
      <c r="AP315" s="46"/>
      <c r="AQ315" s="46"/>
      <c r="AR315" s="46"/>
      <c r="AS315" s="46"/>
      <c r="AT315" s="46"/>
      <c r="AU315" s="46"/>
      <c r="AV315" s="46"/>
      <c r="AW315" s="46"/>
      <c r="AX315" s="46"/>
      <c r="AY315" s="46"/>
      <c r="AZ315" s="46"/>
      <c r="BA315" s="46"/>
      <c r="BB315" s="46"/>
      <c r="BC315" s="46"/>
      <c r="BD315" s="46"/>
      <c r="BE315" s="46"/>
    </row>
    <row r="316" spans="1:57" x14ac:dyDescent="0.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c r="AA316" s="46"/>
      <c r="AB316" s="46"/>
      <c r="AC316" s="46"/>
      <c r="AD316" s="46"/>
      <c r="AE316" s="46"/>
      <c r="AF316" s="46"/>
      <c r="AG316" s="46"/>
      <c r="AH316" s="46"/>
      <c r="AI316" s="46"/>
      <c r="AJ316" s="46"/>
      <c r="AK316" s="50"/>
      <c r="AL316" s="47"/>
      <c r="AM316" s="46"/>
      <c r="AN316" s="46"/>
      <c r="AO316" s="46"/>
      <c r="AP316" s="46"/>
      <c r="AQ316" s="46"/>
      <c r="AR316" s="46"/>
      <c r="AS316" s="46"/>
      <c r="AT316" s="46"/>
      <c r="AU316" s="46"/>
      <c r="AV316" s="46"/>
      <c r="AW316" s="46"/>
      <c r="AX316" s="46"/>
      <c r="AY316" s="46"/>
      <c r="AZ316" s="46"/>
      <c r="BA316" s="46"/>
      <c r="BB316" s="46"/>
      <c r="BC316" s="46"/>
      <c r="BD316" s="46"/>
      <c r="BE316" s="46"/>
    </row>
    <row r="317" spans="1:57" x14ac:dyDescent="0.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c r="AA317" s="46"/>
      <c r="AB317" s="46"/>
      <c r="AC317" s="46"/>
      <c r="AD317" s="46"/>
      <c r="AE317" s="46"/>
      <c r="AF317" s="46"/>
      <c r="AG317" s="46"/>
      <c r="AH317" s="46"/>
      <c r="AI317" s="46"/>
      <c r="AJ317" s="46"/>
      <c r="AK317" s="50"/>
      <c r="AL317" s="47"/>
      <c r="AM317" s="46"/>
      <c r="AN317" s="46"/>
      <c r="AO317" s="46"/>
      <c r="AP317" s="46"/>
      <c r="AQ317" s="46"/>
      <c r="AR317" s="46"/>
      <c r="AS317" s="46"/>
      <c r="AT317" s="46"/>
      <c r="AU317" s="46"/>
      <c r="AV317" s="46"/>
      <c r="AW317" s="46"/>
      <c r="AX317" s="46"/>
      <c r="AY317" s="46"/>
      <c r="AZ317" s="46"/>
      <c r="BA317" s="46"/>
      <c r="BB317" s="46"/>
      <c r="BC317" s="46"/>
      <c r="BD317" s="46"/>
      <c r="BE317" s="46"/>
    </row>
    <row r="318" spans="1:57" x14ac:dyDescent="0.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c r="AA318" s="46"/>
      <c r="AB318" s="46"/>
      <c r="AC318" s="46"/>
      <c r="AD318" s="46"/>
      <c r="AE318" s="46"/>
      <c r="AF318" s="46"/>
      <c r="AG318" s="46"/>
      <c r="AH318" s="46"/>
      <c r="AI318" s="46"/>
      <c r="AJ318" s="46"/>
      <c r="AK318" s="50"/>
      <c r="AL318" s="47"/>
      <c r="AM318" s="46"/>
      <c r="AN318" s="46"/>
      <c r="AO318" s="46"/>
      <c r="AP318" s="46"/>
      <c r="AQ318" s="46"/>
      <c r="AR318" s="46"/>
      <c r="AS318" s="46"/>
      <c r="AT318" s="46"/>
      <c r="AU318" s="46"/>
      <c r="AV318" s="46"/>
      <c r="AW318" s="46"/>
      <c r="AX318" s="46"/>
      <c r="AY318" s="46"/>
      <c r="AZ318" s="46"/>
      <c r="BA318" s="46"/>
      <c r="BB318" s="46"/>
      <c r="BC318" s="46"/>
      <c r="BD318" s="46"/>
      <c r="BE318" s="46"/>
    </row>
    <row r="319" spans="1:57" x14ac:dyDescent="0.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c r="AA319" s="46"/>
      <c r="AB319" s="46"/>
      <c r="AC319" s="46"/>
      <c r="AD319" s="46"/>
      <c r="AE319" s="46"/>
      <c r="AF319" s="46"/>
      <c r="AG319" s="46"/>
      <c r="AH319" s="46"/>
      <c r="AI319" s="46"/>
      <c r="AJ319" s="46"/>
      <c r="AK319" s="50"/>
      <c r="AL319" s="47"/>
      <c r="AM319" s="46"/>
      <c r="AN319" s="46"/>
      <c r="AO319" s="46"/>
      <c r="AP319" s="46"/>
      <c r="AQ319" s="46"/>
      <c r="AR319" s="46"/>
      <c r="AS319" s="46"/>
      <c r="AT319" s="46"/>
      <c r="AU319" s="46"/>
      <c r="AV319" s="46"/>
      <c r="AW319" s="46"/>
      <c r="AX319" s="46"/>
      <c r="AY319" s="46"/>
      <c r="AZ319" s="46"/>
      <c r="BA319" s="46"/>
      <c r="BB319" s="46"/>
      <c r="BC319" s="46"/>
      <c r="BD319" s="46"/>
      <c r="BE319" s="46"/>
    </row>
    <row r="320" spans="1:57" x14ac:dyDescent="0.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c r="AA320" s="46"/>
      <c r="AB320" s="46"/>
      <c r="AC320" s="46"/>
      <c r="AD320" s="46"/>
      <c r="AE320" s="46"/>
      <c r="AF320" s="46"/>
      <c r="AG320" s="46"/>
      <c r="AH320" s="46"/>
      <c r="AI320" s="46"/>
      <c r="AJ320" s="46"/>
      <c r="AK320" s="50"/>
      <c r="AL320" s="47"/>
      <c r="AM320" s="46"/>
      <c r="AN320" s="46"/>
      <c r="AO320" s="46"/>
      <c r="AP320" s="46"/>
      <c r="AQ320" s="46"/>
      <c r="AR320" s="46"/>
      <c r="AS320" s="46"/>
      <c r="AT320" s="46"/>
      <c r="AU320" s="46"/>
      <c r="AV320" s="46"/>
      <c r="AW320" s="46"/>
      <c r="AX320" s="46"/>
      <c r="AY320" s="46"/>
      <c r="AZ320" s="46"/>
      <c r="BA320" s="46"/>
      <c r="BB320" s="46"/>
      <c r="BC320" s="46"/>
      <c r="BD320" s="46"/>
      <c r="BE320" s="46"/>
    </row>
    <row r="321" spans="1:57" x14ac:dyDescent="0.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c r="AA321" s="46"/>
      <c r="AB321" s="46"/>
      <c r="AC321" s="46"/>
      <c r="AD321" s="46"/>
      <c r="AE321" s="46"/>
      <c r="AF321" s="46"/>
      <c r="AG321" s="46"/>
      <c r="AH321" s="46"/>
      <c r="AI321" s="46"/>
      <c r="AJ321" s="46"/>
      <c r="AK321" s="50"/>
      <c r="AL321" s="47"/>
      <c r="AM321" s="46"/>
      <c r="AN321" s="46"/>
      <c r="AO321" s="46"/>
      <c r="AP321" s="46"/>
      <c r="AQ321" s="46"/>
      <c r="AR321" s="46"/>
      <c r="AS321" s="46"/>
      <c r="AT321" s="46"/>
      <c r="AU321" s="46"/>
      <c r="AV321" s="46"/>
      <c r="AW321" s="46"/>
      <c r="AX321" s="46"/>
      <c r="AY321" s="46"/>
      <c r="AZ321" s="46"/>
      <c r="BA321" s="46"/>
      <c r="BB321" s="46"/>
      <c r="BC321" s="46"/>
      <c r="BD321" s="46"/>
      <c r="BE321" s="46"/>
    </row>
    <row r="322" spans="1:57" x14ac:dyDescent="0.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50"/>
      <c r="AL322" s="47"/>
      <c r="AM322" s="46"/>
      <c r="AN322" s="46"/>
      <c r="AO322" s="46"/>
      <c r="AP322" s="46"/>
      <c r="AQ322" s="46"/>
      <c r="AR322" s="46"/>
      <c r="AS322" s="46"/>
      <c r="AT322" s="46"/>
      <c r="AU322" s="46"/>
      <c r="AV322" s="46"/>
      <c r="AW322" s="46"/>
      <c r="AX322" s="46"/>
      <c r="AY322" s="46"/>
      <c r="AZ322" s="46"/>
      <c r="BA322" s="46"/>
      <c r="BB322" s="46"/>
      <c r="BC322" s="46"/>
      <c r="BD322" s="46"/>
      <c r="BE322" s="46"/>
    </row>
    <row r="323" spans="1:57" x14ac:dyDescent="0.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c r="AA323" s="46"/>
      <c r="AB323" s="46"/>
      <c r="AC323" s="46"/>
      <c r="AD323" s="46"/>
      <c r="AE323" s="46"/>
      <c r="AF323" s="46"/>
      <c r="AG323" s="46"/>
      <c r="AH323" s="46"/>
      <c r="AI323" s="46"/>
      <c r="AJ323" s="46"/>
      <c r="AK323" s="50"/>
      <c r="AL323" s="47"/>
      <c r="AM323" s="46"/>
      <c r="AN323" s="46"/>
      <c r="AO323" s="46"/>
      <c r="AP323" s="46"/>
      <c r="AQ323" s="46"/>
      <c r="AR323" s="46"/>
      <c r="AS323" s="46"/>
      <c r="AT323" s="46"/>
      <c r="AU323" s="46"/>
      <c r="AV323" s="46"/>
      <c r="AW323" s="46"/>
      <c r="AX323" s="46"/>
      <c r="AY323" s="46"/>
      <c r="AZ323" s="46"/>
      <c r="BA323" s="46"/>
      <c r="BB323" s="46"/>
      <c r="BC323" s="46"/>
      <c r="BD323" s="46"/>
      <c r="BE323" s="46"/>
    </row>
    <row r="324" spans="1:57" x14ac:dyDescent="0.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c r="AA324" s="46"/>
      <c r="AB324" s="46"/>
      <c r="AC324" s="46"/>
      <c r="AD324" s="46"/>
      <c r="AE324" s="46"/>
      <c r="AF324" s="46"/>
      <c r="AG324" s="46"/>
      <c r="AH324" s="46"/>
      <c r="AI324" s="46"/>
      <c r="AJ324" s="46"/>
      <c r="AK324" s="50"/>
      <c r="AL324" s="47"/>
      <c r="AM324" s="46"/>
      <c r="AN324" s="46"/>
      <c r="AO324" s="46"/>
      <c r="AP324" s="46"/>
      <c r="AQ324" s="46"/>
      <c r="AR324" s="46"/>
      <c r="AS324" s="46"/>
      <c r="AT324" s="46"/>
      <c r="AU324" s="46"/>
      <c r="AV324" s="46"/>
      <c r="AW324" s="46"/>
      <c r="AX324" s="46"/>
      <c r="AY324" s="46"/>
      <c r="AZ324" s="46"/>
      <c r="BA324" s="46"/>
      <c r="BB324" s="46"/>
      <c r="BC324" s="46"/>
      <c r="BD324" s="46"/>
      <c r="BE324" s="46"/>
    </row>
    <row r="325" spans="1:57" x14ac:dyDescent="0.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c r="AA325" s="46"/>
      <c r="AB325" s="46"/>
      <c r="AC325" s="46"/>
      <c r="AD325" s="46"/>
      <c r="AE325" s="46"/>
      <c r="AF325" s="46"/>
      <c r="AG325" s="46"/>
      <c r="AH325" s="46"/>
      <c r="AI325" s="46"/>
      <c r="AJ325" s="46"/>
      <c r="AK325" s="50"/>
      <c r="AL325" s="47"/>
      <c r="AM325" s="46"/>
      <c r="AN325" s="46"/>
      <c r="AO325" s="46"/>
      <c r="AP325" s="46"/>
      <c r="AQ325" s="46"/>
      <c r="AR325" s="46"/>
      <c r="AS325" s="46"/>
      <c r="AT325" s="46"/>
      <c r="AU325" s="46"/>
      <c r="AV325" s="46"/>
      <c r="AW325" s="46"/>
      <c r="AX325" s="46"/>
      <c r="AY325" s="46"/>
      <c r="AZ325" s="46"/>
      <c r="BA325" s="46"/>
      <c r="BB325" s="46"/>
      <c r="BC325" s="46"/>
      <c r="BD325" s="46"/>
      <c r="BE325" s="46"/>
    </row>
    <row r="326" spans="1:57" x14ac:dyDescent="0.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c r="AA326" s="46"/>
      <c r="AB326" s="46"/>
      <c r="AC326" s="46"/>
      <c r="AD326" s="46"/>
      <c r="AE326" s="46"/>
      <c r="AF326" s="46"/>
      <c r="AG326" s="46"/>
      <c r="AH326" s="46"/>
      <c r="AI326" s="46"/>
      <c r="AJ326" s="46"/>
      <c r="AK326" s="50"/>
      <c r="AL326" s="47"/>
      <c r="AM326" s="46"/>
      <c r="AN326" s="46"/>
      <c r="AO326" s="46"/>
      <c r="AP326" s="46"/>
      <c r="AQ326" s="46"/>
      <c r="AR326" s="46"/>
      <c r="AS326" s="46"/>
      <c r="AT326" s="46"/>
      <c r="AU326" s="46"/>
      <c r="AV326" s="46"/>
      <c r="AW326" s="46"/>
      <c r="AX326" s="46"/>
      <c r="AY326" s="46"/>
      <c r="AZ326" s="46"/>
      <c r="BA326" s="46"/>
      <c r="BB326" s="46"/>
      <c r="BC326" s="46"/>
      <c r="BD326" s="46"/>
      <c r="BE326" s="46"/>
    </row>
    <row r="327" spans="1:57" x14ac:dyDescent="0.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c r="AA327" s="46"/>
      <c r="AB327" s="46"/>
      <c r="AC327" s="46"/>
      <c r="AD327" s="46"/>
      <c r="AE327" s="46"/>
      <c r="AF327" s="46"/>
      <c r="AG327" s="46"/>
      <c r="AH327" s="46"/>
      <c r="AI327" s="46"/>
      <c r="AJ327" s="46"/>
      <c r="AK327" s="50"/>
      <c r="AL327" s="47"/>
      <c r="AM327" s="46"/>
      <c r="AN327" s="46"/>
      <c r="AO327" s="46"/>
      <c r="AP327" s="46"/>
      <c r="AQ327" s="46"/>
      <c r="AR327" s="46"/>
      <c r="AS327" s="46"/>
      <c r="AT327" s="46"/>
      <c r="AU327" s="46"/>
      <c r="AV327" s="46"/>
      <c r="AW327" s="46"/>
      <c r="AX327" s="46"/>
      <c r="AY327" s="46"/>
      <c r="AZ327" s="46"/>
      <c r="BA327" s="46"/>
      <c r="BB327" s="46"/>
      <c r="BC327" s="46"/>
      <c r="BD327" s="46"/>
      <c r="BE327" s="46"/>
    </row>
    <row r="328" spans="1:57" x14ac:dyDescent="0.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c r="AA328" s="46"/>
      <c r="AB328" s="46"/>
      <c r="AC328" s="46"/>
      <c r="AD328" s="46"/>
      <c r="AE328" s="46"/>
      <c r="AF328" s="46"/>
      <c r="AG328" s="46"/>
      <c r="AH328" s="46"/>
      <c r="AI328" s="46"/>
      <c r="AJ328" s="46"/>
      <c r="AK328" s="50"/>
      <c r="AL328" s="47"/>
      <c r="AM328" s="46"/>
      <c r="AN328" s="46"/>
      <c r="AO328" s="46"/>
      <c r="AP328" s="46"/>
      <c r="AQ328" s="46"/>
      <c r="AR328" s="46"/>
      <c r="AS328" s="46"/>
      <c r="AT328" s="46"/>
      <c r="AU328" s="46"/>
      <c r="AV328" s="46"/>
      <c r="AW328" s="46"/>
      <c r="AX328" s="46"/>
      <c r="AY328" s="46"/>
      <c r="AZ328" s="46"/>
      <c r="BA328" s="46"/>
      <c r="BB328" s="46"/>
      <c r="BC328" s="46"/>
      <c r="BD328" s="46"/>
      <c r="BE328" s="46"/>
    </row>
    <row r="329" spans="1:57" x14ac:dyDescent="0.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c r="AA329" s="46"/>
      <c r="AB329" s="46"/>
      <c r="AC329" s="46"/>
      <c r="AD329" s="46"/>
      <c r="AE329" s="46"/>
      <c r="AF329" s="46"/>
      <c r="AG329" s="46"/>
      <c r="AH329" s="46"/>
      <c r="AI329" s="46"/>
      <c r="AJ329" s="46"/>
      <c r="AK329" s="50"/>
      <c r="AL329" s="47"/>
      <c r="AM329" s="46"/>
      <c r="AN329" s="46"/>
      <c r="AO329" s="46"/>
      <c r="AP329" s="46"/>
      <c r="AQ329" s="46"/>
      <c r="AR329" s="46"/>
      <c r="AS329" s="46"/>
      <c r="AT329" s="46"/>
      <c r="AU329" s="46"/>
      <c r="AV329" s="46"/>
      <c r="AW329" s="46"/>
      <c r="AX329" s="46"/>
      <c r="AY329" s="46"/>
      <c r="AZ329" s="46"/>
      <c r="BA329" s="46"/>
      <c r="BB329" s="46"/>
      <c r="BC329" s="46"/>
      <c r="BD329" s="46"/>
      <c r="BE329" s="46"/>
    </row>
    <row r="330" spans="1:57" x14ac:dyDescent="0.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c r="AA330" s="46"/>
      <c r="AB330" s="46"/>
      <c r="AC330" s="46"/>
      <c r="AD330" s="46"/>
      <c r="AE330" s="46"/>
      <c r="AF330" s="46"/>
      <c r="AG330" s="46"/>
      <c r="AH330" s="46"/>
      <c r="AI330" s="46"/>
      <c r="AJ330" s="46"/>
      <c r="AK330" s="50"/>
      <c r="AL330" s="47"/>
      <c r="AM330" s="46"/>
      <c r="AN330" s="46"/>
      <c r="AO330" s="46"/>
      <c r="AP330" s="46"/>
      <c r="AQ330" s="46"/>
      <c r="AR330" s="46"/>
      <c r="AS330" s="46"/>
      <c r="AT330" s="46"/>
      <c r="AU330" s="46"/>
      <c r="AV330" s="46"/>
      <c r="AW330" s="46"/>
      <c r="AX330" s="46"/>
      <c r="AY330" s="46"/>
      <c r="AZ330" s="46"/>
      <c r="BA330" s="46"/>
      <c r="BB330" s="46"/>
      <c r="BC330" s="46"/>
      <c r="BD330" s="46"/>
      <c r="BE330" s="46"/>
    </row>
    <row r="331" spans="1:57" x14ac:dyDescent="0.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c r="AA331" s="46"/>
      <c r="AB331" s="46"/>
      <c r="AC331" s="46"/>
      <c r="AD331" s="46"/>
      <c r="AE331" s="46"/>
      <c r="AF331" s="46"/>
      <c r="AG331" s="46"/>
      <c r="AH331" s="46"/>
      <c r="AI331" s="46"/>
      <c r="AJ331" s="46"/>
      <c r="AK331" s="50"/>
      <c r="AL331" s="47"/>
      <c r="AM331" s="46"/>
      <c r="AN331" s="46"/>
      <c r="AO331" s="46"/>
      <c r="AP331" s="46"/>
      <c r="AQ331" s="46"/>
      <c r="AR331" s="46"/>
      <c r="AS331" s="46"/>
      <c r="AT331" s="46"/>
      <c r="AU331" s="46"/>
      <c r="AV331" s="46"/>
      <c r="AW331" s="46"/>
      <c r="AX331" s="46"/>
      <c r="AY331" s="46"/>
      <c r="AZ331" s="46"/>
      <c r="BA331" s="46"/>
      <c r="BB331" s="46"/>
      <c r="BC331" s="46"/>
      <c r="BD331" s="46"/>
      <c r="BE331" s="46"/>
    </row>
    <row r="332" spans="1:57" x14ac:dyDescent="0.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c r="AA332" s="46"/>
      <c r="AB332" s="46"/>
      <c r="AC332" s="46"/>
      <c r="AD332" s="46"/>
      <c r="AE332" s="46"/>
      <c r="AF332" s="46"/>
      <c r="AG332" s="46"/>
      <c r="AH332" s="46"/>
      <c r="AI332" s="46"/>
      <c r="AJ332" s="46"/>
      <c r="AK332" s="50"/>
      <c r="AL332" s="47"/>
      <c r="AM332" s="46"/>
      <c r="AN332" s="46"/>
      <c r="AO332" s="46"/>
      <c r="AP332" s="46"/>
      <c r="AQ332" s="46"/>
      <c r="AR332" s="46"/>
      <c r="AS332" s="46"/>
      <c r="AT332" s="46"/>
      <c r="AU332" s="46"/>
      <c r="AV332" s="46"/>
      <c r="AW332" s="46"/>
      <c r="AX332" s="46"/>
      <c r="AY332" s="46"/>
      <c r="AZ332" s="46"/>
      <c r="BA332" s="46"/>
      <c r="BB332" s="46"/>
      <c r="BC332" s="46"/>
      <c r="BD332" s="46"/>
      <c r="BE332" s="46"/>
    </row>
    <row r="333" spans="1:57" x14ac:dyDescent="0.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c r="AA333" s="46"/>
      <c r="AB333" s="46"/>
      <c r="AC333" s="46"/>
      <c r="AD333" s="46"/>
      <c r="AE333" s="46"/>
      <c r="AF333" s="46"/>
      <c r="AG333" s="46"/>
      <c r="AH333" s="46"/>
      <c r="AI333" s="46"/>
      <c r="AJ333" s="46"/>
      <c r="AK333" s="50"/>
      <c r="AL333" s="47"/>
      <c r="AM333" s="46"/>
      <c r="AN333" s="46"/>
      <c r="AO333" s="46"/>
      <c r="AP333" s="46"/>
      <c r="AQ333" s="46"/>
      <c r="AR333" s="46"/>
      <c r="AS333" s="46"/>
      <c r="AT333" s="46"/>
      <c r="AU333" s="46"/>
      <c r="AV333" s="46"/>
      <c r="AW333" s="46"/>
      <c r="AX333" s="46"/>
      <c r="AY333" s="46"/>
      <c r="AZ333" s="46"/>
      <c r="BA333" s="46"/>
      <c r="BB333" s="46"/>
      <c r="BC333" s="46"/>
      <c r="BD333" s="46"/>
      <c r="BE333" s="46"/>
    </row>
    <row r="334" spans="1:57" x14ac:dyDescent="0.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c r="AA334" s="46"/>
      <c r="AB334" s="46"/>
      <c r="AC334" s="46"/>
      <c r="AD334" s="46"/>
      <c r="AE334" s="46"/>
      <c r="AF334" s="46"/>
      <c r="AG334" s="46"/>
      <c r="AH334" s="46"/>
      <c r="AI334" s="46"/>
      <c r="AJ334" s="46"/>
      <c r="AK334" s="50"/>
      <c r="AL334" s="47"/>
      <c r="AM334" s="46"/>
      <c r="AN334" s="46"/>
      <c r="AO334" s="46"/>
      <c r="AP334" s="46"/>
      <c r="AQ334" s="46"/>
      <c r="AR334" s="46"/>
      <c r="AS334" s="46"/>
      <c r="AT334" s="46"/>
      <c r="AU334" s="46"/>
      <c r="AV334" s="46"/>
      <c r="AW334" s="46"/>
      <c r="AX334" s="46"/>
      <c r="AY334" s="46"/>
      <c r="AZ334" s="46"/>
      <c r="BA334" s="46"/>
      <c r="BB334" s="46"/>
      <c r="BC334" s="46"/>
      <c r="BD334" s="46"/>
      <c r="BE334" s="46"/>
    </row>
    <row r="335" spans="1:57" x14ac:dyDescent="0.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c r="AA335" s="46"/>
      <c r="AB335" s="46"/>
      <c r="AC335" s="46"/>
      <c r="AD335" s="46"/>
      <c r="AE335" s="46"/>
      <c r="AF335" s="46"/>
      <c r="AG335" s="46"/>
      <c r="AH335" s="46"/>
      <c r="AI335" s="46"/>
      <c r="AJ335" s="46"/>
      <c r="AK335" s="50"/>
      <c r="AL335" s="47"/>
      <c r="AM335" s="46"/>
      <c r="AN335" s="46"/>
      <c r="AO335" s="46"/>
      <c r="AP335" s="46"/>
      <c r="AQ335" s="46"/>
      <c r="AR335" s="46"/>
      <c r="AS335" s="46"/>
      <c r="AT335" s="46"/>
      <c r="AU335" s="46"/>
      <c r="AV335" s="46"/>
      <c r="AW335" s="46"/>
      <c r="AX335" s="46"/>
      <c r="AY335" s="46"/>
      <c r="AZ335" s="46"/>
      <c r="BA335" s="46"/>
      <c r="BB335" s="46"/>
      <c r="BC335" s="46"/>
      <c r="BD335" s="46"/>
      <c r="BE335" s="46"/>
    </row>
    <row r="336" spans="1:57" x14ac:dyDescent="0.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c r="AA336" s="46"/>
      <c r="AB336" s="46"/>
      <c r="AC336" s="46"/>
      <c r="AD336" s="46"/>
      <c r="AE336" s="46"/>
      <c r="AF336" s="46"/>
      <c r="AG336" s="46"/>
      <c r="AH336" s="46"/>
      <c r="AI336" s="46"/>
      <c r="AJ336" s="46"/>
      <c r="AK336" s="50"/>
      <c r="AL336" s="47"/>
      <c r="AM336" s="46"/>
      <c r="AN336" s="46"/>
      <c r="AO336" s="46"/>
      <c r="AP336" s="46"/>
      <c r="AQ336" s="46"/>
      <c r="AR336" s="46"/>
      <c r="AS336" s="46"/>
      <c r="AT336" s="46"/>
      <c r="AU336" s="46"/>
      <c r="AV336" s="46"/>
      <c r="AW336" s="46"/>
      <c r="AX336" s="46"/>
      <c r="AY336" s="46"/>
      <c r="AZ336" s="46"/>
      <c r="BA336" s="46"/>
      <c r="BB336" s="46"/>
      <c r="BC336" s="46"/>
      <c r="BD336" s="46"/>
      <c r="BE336" s="46"/>
    </row>
    <row r="337" spans="1:57" x14ac:dyDescent="0.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c r="AA337" s="46"/>
      <c r="AB337" s="46"/>
      <c r="AC337" s="46"/>
      <c r="AD337" s="46"/>
      <c r="AE337" s="46"/>
      <c r="AF337" s="46"/>
      <c r="AG337" s="46"/>
      <c r="AH337" s="46"/>
      <c r="AI337" s="46"/>
      <c r="AJ337" s="46"/>
      <c r="AK337" s="50"/>
      <c r="AL337" s="47"/>
      <c r="AM337" s="46"/>
      <c r="AN337" s="46"/>
      <c r="AO337" s="46"/>
      <c r="AP337" s="46"/>
      <c r="AQ337" s="46"/>
      <c r="AR337" s="46"/>
      <c r="AS337" s="46"/>
      <c r="AT337" s="46"/>
      <c r="AU337" s="46"/>
      <c r="AV337" s="46"/>
      <c r="AW337" s="46"/>
      <c r="AX337" s="46"/>
      <c r="AY337" s="46"/>
      <c r="AZ337" s="46"/>
      <c r="BA337" s="46"/>
      <c r="BB337" s="46"/>
      <c r="BC337" s="46"/>
      <c r="BD337" s="46"/>
      <c r="BE337" s="46"/>
    </row>
    <row r="338" spans="1:57" x14ac:dyDescent="0.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c r="AA338" s="46"/>
      <c r="AB338" s="46"/>
      <c r="AC338" s="46"/>
      <c r="AD338" s="46"/>
      <c r="AE338" s="46"/>
      <c r="AF338" s="46"/>
      <c r="AG338" s="46"/>
      <c r="AH338" s="46"/>
      <c r="AI338" s="46"/>
      <c r="AJ338" s="46"/>
      <c r="AK338" s="50"/>
      <c r="AL338" s="47"/>
      <c r="AM338" s="46"/>
      <c r="AN338" s="46"/>
      <c r="AO338" s="46"/>
      <c r="AP338" s="46"/>
      <c r="AQ338" s="46"/>
      <c r="AR338" s="46"/>
      <c r="AS338" s="46"/>
      <c r="AT338" s="46"/>
      <c r="AU338" s="46"/>
      <c r="AV338" s="46"/>
      <c r="AW338" s="46"/>
      <c r="AX338" s="46"/>
      <c r="AY338" s="46"/>
      <c r="AZ338" s="46"/>
      <c r="BA338" s="46"/>
      <c r="BB338" s="46"/>
      <c r="BC338" s="46"/>
      <c r="BD338" s="46"/>
      <c r="BE338" s="46"/>
    </row>
    <row r="339" spans="1:57" x14ac:dyDescent="0.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c r="AA339" s="46"/>
      <c r="AB339" s="46"/>
      <c r="AC339" s="46"/>
      <c r="AD339" s="46"/>
      <c r="AE339" s="46"/>
      <c r="AF339" s="46"/>
      <c r="AG339" s="46"/>
      <c r="AH339" s="46"/>
      <c r="AI339" s="46"/>
      <c r="AJ339" s="46"/>
      <c r="AK339" s="50"/>
      <c r="AL339" s="47"/>
      <c r="AM339" s="46"/>
      <c r="AN339" s="46"/>
      <c r="AO339" s="46"/>
      <c r="AP339" s="46"/>
      <c r="AQ339" s="46"/>
      <c r="AR339" s="46"/>
      <c r="AS339" s="46"/>
      <c r="AT339" s="46"/>
      <c r="AU339" s="46"/>
      <c r="AV339" s="46"/>
      <c r="AW339" s="46"/>
      <c r="AX339" s="46"/>
      <c r="AY339" s="46"/>
      <c r="AZ339" s="46"/>
      <c r="BA339" s="46"/>
      <c r="BB339" s="46"/>
      <c r="BC339" s="46"/>
      <c r="BD339" s="46"/>
      <c r="BE339" s="46"/>
    </row>
    <row r="340" spans="1:57" x14ac:dyDescent="0.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c r="AA340" s="46"/>
      <c r="AB340" s="46"/>
      <c r="AC340" s="46"/>
      <c r="AD340" s="46"/>
      <c r="AE340" s="46"/>
      <c r="AF340" s="46"/>
      <c r="AG340" s="46"/>
      <c r="AH340" s="46"/>
      <c r="AI340" s="46"/>
      <c r="AJ340" s="46"/>
      <c r="AK340" s="50"/>
      <c r="AL340" s="47"/>
      <c r="AM340" s="46"/>
      <c r="AN340" s="46"/>
      <c r="AO340" s="46"/>
      <c r="AP340" s="46"/>
      <c r="AQ340" s="46"/>
      <c r="AR340" s="46"/>
      <c r="AS340" s="46"/>
      <c r="AT340" s="46"/>
      <c r="AU340" s="46"/>
      <c r="AV340" s="46"/>
      <c r="AW340" s="46"/>
      <c r="AX340" s="46"/>
      <c r="AY340" s="46"/>
      <c r="AZ340" s="46"/>
      <c r="BA340" s="46"/>
      <c r="BB340" s="46"/>
      <c r="BC340" s="46"/>
      <c r="BD340" s="46"/>
      <c r="BE340" s="46"/>
    </row>
    <row r="341" spans="1:57" x14ac:dyDescent="0.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c r="AA341" s="46"/>
      <c r="AB341" s="46"/>
      <c r="AC341" s="46"/>
      <c r="AD341" s="46"/>
      <c r="AE341" s="46"/>
      <c r="AF341" s="46"/>
      <c r="AG341" s="46"/>
      <c r="AH341" s="46"/>
      <c r="AI341" s="46"/>
      <c r="AJ341" s="46"/>
      <c r="AK341" s="50"/>
      <c r="AL341" s="47"/>
      <c r="AM341" s="46"/>
      <c r="AN341" s="46"/>
      <c r="AO341" s="46"/>
      <c r="AP341" s="46"/>
      <c r="AQ341" s="46"/>
      <c r="AR341" s="46"/>
      <c r="AS341" s="46"/>
      <c r="AT341" s="46"/>
      <c r="AU341" s="46"/>
      <c r="AV341" s="46"/>
      <c r="AW341" s="46"/>
      <c r="AX341" s="46"/>
      <c r="AY341" s="46"/>
      <c r="AZ341" s="46"/>
      <c r="BA341" s="46"/>
      <c r="BB341" s="46"/>
      <c r="BC341" s="46"/>
      <c r="BD341" s="46"/>
      <c r="BE341" s="46"/>
    </row>
    <row r="342" spans="1:57" x14ac:dyDescent="0.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c r="AA342" s="46"/>
      <c r="AB342" s="46"/>
      <c r="AC342" s="46"/>
      <c r="AD342" s="46"/>
      <c r="AE342" s="46"/>
      <c r="AF342" s="46"/>
      <c r="AG342" s="46"/>
      <c r="AH342" s="46"/>
      <c r="AI342" s="46"/>
      <c r="AJ342" s="46"/>
      <c r="AK342" s="50"/>
      <c r="AL342" s="47"/>
      <c r="AM342" s="46"/>
      <c r="AN342" s="46"/>
      <c r="AO342" s="46"/>
      <c r="AP342" s="46"/>
      <c r="AQ342" s="46"/>
      <c r="AR342" s="46"/>
      <c r="AS342" s="46"/>
      <c r="AT342" s="46"/>
      <c r="AU342" s="46"/>
      <c r="AV342" s="46"/>
      <c r="AW342" s="46"/>
      <c r="AX342" s="46"/>
      <c r="AY342" s="46"/>
      <c r="AZ342" s="46"/>
      <c r="BA342" s="46"/>
      <c r="BB342" s="46"/>
      <c r="BC342" s="46"/>
      <c r="BD342" s="46"/>
      <c r="BE342" s="46"/>
    </row>
    <row r="343" spans="1:57" x14ac:dyDescent="0.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c r="AA343" s="46"/>
      <c r="AB343" s="46"/>
      <c r="AC343" s="46"/>
      <c r="AD343" s="46"/>
      <c r="AE343" s="46"/>
      <c r="AF343" s="46"/>
      <c r="AG343" s="46"/>
      <c r="AH343" s="46"/>
      <c r="AI343" s="46"/>
      <c r="AJ343" s="46"/>
      <c r="AK343" s="50"/>
      <c r="AL343" s="47"/>
      <c r="AM343" s="46"/>
      <c r="AN343" s="46"/>
      <c r="AO343" s="46"/>
      <c r="AP343" s="46"/>
      <c r="AQ343" s="46"/>
      <c r="AR343" s="46"/>
      <c r="AS343" s="46"/>
      <c r="AT343" s="46"/>
      <c r="AU343" s="46"/>
      <c r="AV343" s="46"/>
      <c r="AW343" s="46"/>
      <c r="AX343" s="46"/>
      <c r="AY343" s="46"/>
      <c r="AZ343" s="46"/>
      <c r="BA343" s="46"/>
      <c r="BB343" s="46"/>
      <c r="BC343" s="46"/>
      <c r="BD343" s="46"/>
      <c r="BE343" s="46"/>
    </row>
    <row r="344" spans="1:57" x14ac:dyDescent="0.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50"/>
      <c r="AL344" s="47"/>
      <c r="AM344" s="46"/>
      <c r="AN344" s="46"/>
      <c r="AO344" s="46"/>
      <c r="AP344" s="46"/>
      <c r="AQ344" s="46"/>
      <c r="AR344" s="46"/>
      <c r="AS344" s="46"/>
      <c r="AT344" s="46"/>
      <c r="AU344" s="46"/>
      <c r="AV344" s="46"/>
      <c r="AW344" s="46"/>
      <c r="AX344" s="46"/>
      <c r="AY344" s="46"/>
      <c r="AZ344" s="46"/>
      <c r="BA344" s="46"/>
      <c r="BB344" s="46"/>
      <c r="BC344" s="46"/>
      <c r="BD344" s="46"/>
      <c r="BE344" s="46"/>
    </row>
    <row r="345" spans="1:57" x14ac:dyDescent="0.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c r="AA345" s="46"/>
      <c r="AB345" s="46"/>
      <c r="AC345" s="46"/>
      <c r="AD345" s="46"/>
      <c r="AE345" s="46"/>
      <c r="AF345" s="46"/>
      <c r="AG345" s="46"/>
      <c r="AH345" s="46"/>
      <c r="AI345" s="46"/>
      <c r="AJ345" s="46"/>
      <c r="AK345" s="50"/>
      <c r="AL345" s="47"/>
      <c r="AM345" s="46"/>
      <c r="AN345" s="46"/>
      <c r="AO345" s="46"/>
      <c r="AP345" s="46"/>
      <c r="AQ345" s="46"/>
      <c r="AR345" s="46"/>
      <c r="AS345" s="46"/>
      <c r="AT345" s="46"/>
      <c r="AU345" s="46"/>
      <c r="AV345" s="46"/>
      <c r="AW345" s="46"/>
      <c r="AX345" s="46"/>
      <c r="AY345" s="46"/>
      <c r="AZ345" s="46"/>
      <c r="BA345" s="46"/>
      <c r="BB345" s="46"/>
      <c r="BC345" s="46"/>
      <c r="BD345" s="46"/>
      <c r="BE345" s="46"/>
    </row>
    <row r="346" spans="1:57" x14ac:dyDescent="0.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c r="AA346" s="46"/>
      <c r="AB346" s="46"/>
      <c r="AC346" s="46"/>
      <c r="AD346" s="46"/>
      <c r="AE346" s="46"/>
      <c r="AF346" s="46"/>
      <c r="AG346" s="46"/>
      <c r="AH346" s="46"/>
      <c r="AI346" s="46"/>
      <c r="AJ346" s="46"/>
      <c r="AK346" s="50"/>
      <c r="AL346" s="47"/>
      <c r="AM346" s="46"/>
      <c r="AN346" s="46"/>
      <c r="AO346" s="46"/>
      <c r="AP346" s="46"/>
      <c r="AQ346" s="46"/>
      <c r="AR346" s="46"/>
      <c r="AS346" s="46"/>
      <c r="AT346" s="46"/>
      <c r="AU346" s="46"/>
      <c r="AV346" s="46"/>
      <c r="AW346" s="46"/>
      <c r="AX346" s="46"/>
      <c r="AY346" s="46"/>
      <c r="AZ346" s="46"/>
      <c r="BA346" s="46"/>
      <c r="BB346" s="46"/>
      <c r="BC346" s="46"/>
      <c r="BD346" s="46"/>
      <c r="BE346" s="46"/>
    </row>
    <row r="347" spans="1:57" x14ac:dyDescent="0.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c r="AA347" s="46"/>
      <c r="AB347" s="46"/>
      <c r="AC347" s="46"/>
      <c r="AD347" s="46"/>
      <c r="AE347" s="46"/>
      <c r="AF347" s="46"/>
      <c r="AG347" s="46"/>
      <c r="AH347" s="46"/>
      <c r="AI347" s="46"/>
      <c r="AJ347" s="46"/>
      <c r="AK347" s="50"/>
      <c r="AL347" s="47"/>
      <c r="AM347" s="46"/>
      <c r="AN347" s="46"/>
      <c r="AO347" s="46"/>
      <c r="AP347" s="46"/>
      <c r="AQ347" s="46"/>
      <c r="AR347" s="46"/>
      <c r="AS347" s="46"/>
      <c r="AT347" s="46"/>
      <c r="AU347" s="46"/>
      <c r="AV347" s="46"/>
      <c r="AW347" s="46"/>
      <c r="AX347" s="46"/>
      <c r="AY347" s="46"/>
      <c r="AZ347" s="46"/>
      <c r="BA347" s="46"/>
      <c r="BB347" s="46"/>
      <c r="BC347" s="46"/>
      <c r="BD347" s="46"/>
      <c r="BE347" s="46"/>
    </row>
    <row r="348" spans="1:57" x14ac:dyDescent="0.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c r="AA348" s="46"/>
      <c r="AB348" s="46"/>
      <c r="AC348" s="46"/>
      <c r="AD348" s="46"/>
      <c r="AE348" s="46"/>
      <c r="AF348" s="46"/>
      <c r="AG348" s="46"/>
      <c r="AH348" s="46"/>
      <c r="AI348" s="46"/>
      <c r="AJ348" s="46"/>
      <c r="AK348" s="50"/>
      <c r="AL348" s="47"/>
      <c r="AM348" s="46"/>
      <c r="AN348" s="46"/>
      <c r="AO348" s="46"/>
      <c r="AP348" s="46"/>
      <c r="AQ348" s="46"/>
      <c r="AR348" s="46"/>
      <c r="AS348" s="46"/>
      <c r="AT348" s="46"/>
      <c r="AU348" s="46"/>
      <c r="AV348" s="46"/>
      <c r="AW348" s="46"/>
      <c r="AX348" s="46"/>
      <c r="AY348" s="46"/>
      <c r="AZ348" s="46"/>
      <c r="BA348" s="46"/>
      <c r="BB348" s="46"/>
      <c r="BC348" s="46"/>
      <c r="BD348" s="46"/>
      <c r="BE348" s="46"/>
    </row>
    <row r="349" spans="1:57" x14ac:dyDescent="0.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c r="AA349" s="46"/>
      <c r="AB349" s="46"/>
      <c r="AC349" s="46"/>
      <c r="AD349" s="46"/>
      <c r="AE349" s="46"/>
      <c r="AF349" s="46"/>
      <c r="AG349" s="46"/>
      <c r="AH349" s="46"/>
      <c r="AI349" s="46"/>
      <c r="AJ349" s="46"/>
      <c r="AK349" s="50"/>
      <c r="AL349" s="47"/>
      <c r="AM349" s="46"/>
      <c r="AN349" s="46"/>
      <c r="AO349" s="46"/>
      <c r="AP349" s="46"/>
      <c r="AQ349" s="46"/>
      <c r="AR349" s="46"/>
      <c r="AS349" s="46"/>
      <c r="AT349" s="46"/>
      <c r="AU349" s="46"/>
      <c r="AV349" s="46"/>
      <c r="AW349" s="46"/>
      <c r="AX349" s="46"/>
      <c r="AY349" s="46"/>
      <c r="AZ349" s="46"/>
      <c r="BA349" s="46"/>
      <c r="BB349" s="46"/>
      <c r="BC349" s="46"/>
      <c r="BD349" s="46"/>
      <c r="BE349" s="46"/>
    </row>
    <row r="350" spans="1:57" x14ac:dyDescent="0.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c r="AA350" s="46"/>
      <c r="AB350" s="46"/>
      <c r="AC350" s="46"/>
      <c r="AD350" s="46"/>
      <c r="AE350" s="46"/>
      <c r="AF350" s="46"/>
      <c r="AG350" s="46"/>
      <c r="AH350" s="46"/>
      <c r="AI350" s="46"/>
      <c r="AJ350" s="46"/>
      <c r="AK350" s="50"/>
      <c r="AL350" s="47"/>
      <c r="AM350" s="46"/>
      <c r="AN350" s="46"/>
      <c r="AO350" s="46"/>
      <c r="AP350" s="46"/>
      <c r="AQ350" s="46"/>
      <c r="AR350" s="46"/>
      <c r="AS350" s="46"/>
      <c r="AT350" s="46"/>
      <c r="AU350" s="46"/>
      <c r="AV350" s="46"/>
      <c r="AW350" s="46"/>
      <c r="AX350" s="46"/>
      <c r="AY350" s="46"/>
      <c r="AZ350" s="46"/>
      <c r="BA350" s="46"/>
      <c r="BB350" s="46"/>
      <c r="BC350" s="46"/>
      <c r="BD350" s="46"/>
      <c r="BE350" s="46"/>
    </row>
    <row r="351" spans="1:57" x14ac:dyDescent="0.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c r="AA351" s="46"/>
      <c r="AB351" s="46"/>
      <c r="AC351" s="46"/>
      <c r="AD351" s="46"/>
      <c r="AE351" s="46"/>
      <c r="AF351" s="46"/>
      <c r="AG351" s="46"/>
      <c r="AH351" s="46"/>
      <c r="AI351" s="46"/>
      <c r="AJ351" s="46"/>
      <c r="AK351" s="50"/>
      <c r="AL351" s="47"/>
      <c r="AM351" s="46"/>
      <c r="AN351" s="46"/>
      <c r="AO351" s="46"/>
      <c r="AP351" s="46"/>
      <c r="AQ351" s="46"/>
      <c r="AR351" s="46"/>
      <c r="AS351" s="46"/>
      <c r="AT351" s="46"/>
      <c r="AU351" s="46"/>
      <c r="AV351" s="46"/>
      <c r="AW351" s="46"/>
      <c r="AX351" s="46"/>
      <c r="AY351" s="46"/>
      <c r="AZ351" s="46"/>
      <c r="BA351" s="46"/>
      <c r="BB351" s="46"/>
      <c r="BC351" s="46"/>
      <c r="BD351" s="46"/>
      <c r="BE351" s="46"/>
    </row>
    <row r="352" spans="1:57" x14ac:dyDescent="0.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c r="AA352" s="46"/>
      <c r="AB352" s="46"/>
      <c r="AC352" s="46"/>
      <c r="AD352" s="46"/>
      <c r="AE352" s="46"/>
      <c r="AF352" s="46"/>
      <c r="AG352" s="46"/>
      <c r="AH352" s="46"/>
      <c r="AI352" s="46"/>
      <c r="AJ352" s="46"/>
      <c r="AK352" s="50"/>
      <c r="AL352" s="47"/>
      <c r="AM352" s="46"/>
      <c r="AN352" s="46"/>
      <c r="AO352" s="46"/>
      <c r="AP352" s="46"/>
      <c r="AQ352" s="46"/>
      <c r="AR352" s="46"/>
      <c r="AS352" s="46"/>
      <c r="AT352" s="46"/>
      <c r="AU352" s="46"/>
      <c r="AV352" s="46"/>
      <c r="AW352" s="46"/>
      <c r="AX352" s="46"/>
      <c r="AY352" s="46"/>
      <c r="AZ352" s="46"/>
      <c r="BA352" s="46"/>
      <c r="BB352" s="46"/>
      <c r="BC352" s="46"/>
      <c r="BD352" s="46"/>
      <c r="BE352" s="46"/>
    </row>
    <row r="353" spans="1:57" x14ac:dyDescent="0.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c r="AA353" s="46"/>
      <c r="AB353" s="46"/>
      <c r="AC353" s="46"/>
      <c r="AD353" s="46"/>
      <c r="AE353" s="46"/>
      <c r="AF353" s="46"/>
      <c r="AG353" s="46"/>
      <c r="AH353" s="46"/>
      <c r="AI353" s="46"/>
      <c r="AJ353" s="46"/>
      <c r="AK353" s="50"/>
      <c r="AL353" s="47"/>
      <c r="AM353" s="46"/>
      <c r="AN353" s="46"/>
      <c r="AO353" s="46"/>
      <c r="AP353" s="46"/>
      <c r="AQ353" s="46"/>
      <c r="AR353" s="46"/>
      <c r="AS353" s="46"/>
      <c r="AT353" s="46"/>
      <c r="AU353" s="46"/>
      <c r="AV353" s="46"/>
      <c r="AW353" s="46"/>
      <c r="AX353" s="46"/>
      <c r="AY353" s="46"/>
      <c r="AZ353" s="46"/>
      <c r="BA353" s="46"/>
      <c r="BB353" s="46"/>
      <c r="BC353" s="46"/>
      <c r="BD353" s="46"/>
      <c r="BE353" s="46"/>
    </row>
    <row r="354" spans="1:57" x14ac:dyDescent="0.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c r="AA354" s="46"/>
      <c r="AB354" s="46"/>
      <c r="AC354" s="46"/>
      <c r="AD354" s="46"/>
      <c r="AE354" s="46"/>
      <c r="AF354" s="46"/>
      <c r="AG354" s="46"/>
      <c r="AH354" s="46"/>
      <c r="AI354" s="46"/>
      <c r="AJ354" s="46"/>
      <c r="AK354" s="50"/>
      <c r="AL354" s="47"/>
      <c r="AM354" s="46"/>
      <c r="AN354" s="46"/>
      <c r="AO354" s="46"/>
      <c r="AP354" s="46"/>
      <c r="AQ354" s="46"/>
      <c r="AR354" s="46"/>
      <c r="AS354" s="46"/>
      <c r="AT354" s="46"/>
      <c r="AU354" s="46"/>
      <c r="AV354" s="46"/>
      <c r="AW354" s="46"/>
      <c r="AX354" s="46"/>
      <c r="AY354" s="46"/>
      <c r="AZ354" s="46"/>
      <c r="BA354" s="46"/>
      <c r="BB354" s="46"/>
      <c r="BC354" s="46"/>
      <c r="BD354" s="46"/>
      <c r="BE354" s="46"/>
    </row>
    <row r="355" spans="1:57" x14ac:dyDescent="0.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c r="AA355" s="46"/>
      <c r="AB355" s="46"/>
      <c r="AC355" s="46"/>
      <c r="AD355" s="46"/>
      <c r="AE355" s="46"/>
      <c r="AF355" s="46"/>
      <c r="AG355" s="46"/>
      <c r="AH355" s="46"/>
      <c r="AI355" s="46"/>
      <c r="AJ355" s="46"/>
      <c r="AK355" s="50"/>
      <c r="AL355" s="47"/>
      <c r="AM355" s="46"/>
      <c r="AN355" s="46"/>
      <c r="AO355" s="46"/>
      <c r="AP355" s="46"/>
      <c r="AQ355" s="46"/>
      <c r="AR355" s="46"/>
      <c r="AS355" s="46"/>
      <c r="AT355" s="46"/>
      <c r="AU355" s="46"/>
      <c r="AV355" s="46"/>
      <c r="AW355" s="46"/>
      <c r="AX355" s="46"/>
      <c r="AY355" s="46"/>
      <c r="AZ355" s="46"/>
      <c r="BA355" s="46"/>
      <c r="BB355" s="46"/>
      <c r="BC355" s="46"/>
      <c r="BD355" s="46"/>
      <c r="BE355" s="46"/>
    </row>
    <row r="356" spans="1:57" x14ac:dyDescent="0.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c r="AA356" s="46"/>
      <c r="AB356" s="46"/>
      <c r="AC356" s="46"/>
      <c r="AD356" s="46"/>
      <c r="AE356" s="46"/>
      <c r="AF356" s="46"/>
      <c r="AG356" s="46"/>
      <c r="AH356" s="46"/>
      <c r="AI356" s="46"/>
      <c r="AJ356" s="46"/>
      <c r="AK356" s="50"/>
      <c r="AL356" s="47"/>
      <c r="AM356" s="46"/>
      <c r="AN356" s="46"/>
      <c r="AO356" s="46"/>
      <c r="AP356" s="46"/>
      <c r="AQ356" s="46"/>
      <c r="AR356" s="46"/>
      <c r="AS356" s="46"/>
      <c r="AT356" s="46"/>
      <c r="AU356" s="46"/>
      <c r="AV356" s="46"/>
      <c r="AW356" s="46"/>
      <c r="AX356" s="46"/>
      <c r="AY356" s="46"/>
      <c r="AZ356" s="46"/>
      <c r="BA356" s="46"/>
      <c r="BB356" s="46"/>
      <c r="BC356" s="46"/>
      <c r="BD356" s="46"/>
      <c r="BE356" s="46"/>
    </row>
    <row r="357" spans="1:57" x14ac:dyDescent="0.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c r="AA357" s="46"/>
      <c r="AB357" s="46"/>
      <c r="AC357" s="46"/>
      <c r="AD357" s="46"/>
      <c r="AE357" s="46"/>
      <c r="AF357" s="46"/>
      <c r="AG357" s="46"/>
      <c r="AH357" s="46"/>
      <c r="AI357" s="46"/>
      <c r="AJ357" s="46"/>
      <c r="AK357" s="50"/>
      <c r="AL357" s="47"/>
      <c r="AM357" s="46"/>
      <c r="AN357" s="46"/>
      <c r="AO357" s="46"/>
      <c r="AP357" s="46"/>
      <c r="AQ357" s="46"/>
      <c r="AR357" s="46"/>
      <c r="AS357" s="46"/>
      <c r="AT357" s="46"/>
      <c r="AU357" s="46"/>
      <c r="AV357" s="46"/>
      <c r="AW357" s="46"/>
      <c r="AX357" s="46"/>
      <c r="AY357" s="46"/>
      <c r="AZ357" s="46"/>
      <c r="BA357" s="46"/>
      <c r="BB357" s="46"/>
      <c r="BC357" s="46"/>
      <c r="BD357" s="46"/>
      <c r="BE357" s="46"/>
    </row>
    <row r="358" spans="1:57" x14ac:dyDescent="0.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c r="AA358" s="46"/>
      <c r="AB358" s="46"/>
      <c r="AC358" s="46"/>
      <c r="AD358" s="46"/>
      <c r="AE358" s="46"/>
      <c r="AF358" s="46"/>
      <c r="AG358" s="46"/>
      <c r="AH358" s="46"/>
      <c r="AI358" s="46"/>
      <c r="AJ358" s="46"/>
      <c r="AK358" s="50"/>
      <c r="AL358" s="47"/>
      <c r="AM358" s="46"/>
      <c r="AN358" s="46"/>
      <c r="AO358" s="46"/>
      <c r="AP358" s="46"/>
      <c r="AQ358" s="46"/>
      <c r="AR358" s="46"/>
      <c r="AS358" s="46"/>
      <c r="AT358" s="46"/>
      <c r="AU358" s="46"/>
      <c r="AV358" s="46"/>
      <c r="AW358" s="46"/>
      <c r="AX358" s="46"/>
      <c r="AY358" s="46"/>
      <c r="AZ358" s="46"/>
      <c r="BA358" s="46"/>
      <c r="BB358" s="46"/>
      <c r="BC358" s="46"/>
      <c r="BD358" s="46"/>
      <c r="BE358" s="46"/>
    </row>
    <row r="359" spans="1:57" x14ac:dyDescent="0.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c r="AA359" s="46"/>
      <c r="AB359" s="46"/>
      <c r="AC359" s="46"/>
      <c r="AD359" s="46"/>
      <c r="AE359" s="46"/>
      <c r="AF359" s="46"/>
      <c r="AG359" s="46"/>
      <c r="AH359" s="46"/>
      <c r="AI359" s="46"/>
      <c r="AJ359" s="46"/>
      <c r="AK359" s="50"/>
      <c r="AL359" s="47"/>
      <c r="AM359" s="46"/>
      <c r="AN359" s="46"/>
      <c r="AO359" s="46"/>
      <c r="AP359" s="46"/>
      <c r="AQ359" s="46"/>
      <c r="AR359" s="46"/>
      <c r="AS359" s="46"/>
      <c r="AT359" s="46"/>
      <c r="AU359" s="46"/>
      <c r="AV359" s="46"/>
      <c r="AW359" s="46"/>
      <c r="AX359" s="46"/>
      <c r="AY359" s="46"/>
      <c r="AZ359" s="46"/>
      <c r="BA359" s="46"/>
      <c r="BB359" s="46"/>
      <c r="BC359" s="46"/>
      <c r="BD359" s="46"/>
      <c r="BE359" s="46"/>
    </row>
    <row r="360" spans="1:57" x14ac:dyDescent="0.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c r="AA360" s="46"/>
      <c r="AB360" s="46"/>
      <c r="AC360" s="46"/>
      <c r="AD360" s="46"/>
      <c r="AE360" s="46"/>
      <c r="AF360" s="46"/>
      <c r="AG360" s="46"/>
      <c r="AH360" s="46"/>
      <c r="AI360" s="46"/>
      <c r="AJ360" s="46"/>
      <c r="AK360" s="50"/>
      <c r="AL360" s="47"/>
      <c r="AM360" s="46"/>
      <c r="AN360" s="46"/>
      <c r="AO360" s="46"/>
      <c r="AP360" s="46"/>
      <c r="AQ360" s="46"/>
      <c r="AR360" s="46"/>
      <c r="AS360" s="46"/>
      <c r="AT360" s="46"/>
      <c r="AU360" s="46"/>
      <c r="AV360" s="46"/>
      <c r="AW360" s="46"/>
      <c r="AX360" s="46"/>
      <c r="AY360" s="46"/>
      <c r="AZ360" s="46"/>
      <c r="BA360" s="46"/>
      <c r="BB360" s="46"/>
      <c r="BC360" s="46"/>
      <c r="BD360" s="46"/>
      <c r="BE360" s="46"/>
    </row>
    <row r="361" spans="1:57" x14ac:dyDescent="0.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c r="AA361" s="46"/>
      <c r="AB361" s="46"/>
      <c r="AC361" s="46"/>
      <c r="AD361" s="46"/>
      <c r="AE361" s="46"/>
      <c r="AF361" s="46"/>
      <c r="AG361" s="46"/>
      <c r="AH361" s="46"/>
      <c r="AI361" s="46"/>
      <c r="AJ361" s="46"/>
      <c r="AK361" s="50"/>
      <c r="AL361" s="47"/>
      <c r="AM361" s="46"/>
      <c r="AN361" s="46"/>
      <c r="AO361" s="46"/>
      <c r="AP361" s="46"/>
      <c r="AQ361" s="46"/>
      <c r="AR361" s="46"/>
      <c r="AS361" s="46"/>
      <c r="AT361" s="46"/>
      <c r="AU361" s="46"/>
      <c r="AV361" s="46"/>
      <c r="AW361" s="46"/>
      <c r="AX361" s="46"/>
      <c r="AY361" s="46"/>
      <c r="AZ361" s="46"/>
      <c r="BA361" s="46"/>
      <c r="BB361" s="46"/>
      <c r="BC361" s="46"/>
      <c r="BD361" s="46"/>
      <c r="BE361" s="46"/>
    </row>
    <row r="362" spans="1:57" x14ac:dyDescent="0.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c r="AA362" s="46"/>
      <c r="AB362" s="46"/>
      <c r="AC362" s="46"/>
      <c r="AD362" s="46"/>
      <c r="AE362" s="46"/>
      <c r="AF362" s="46"/>
      <c r="AG362" s="46"/>
      <c r="AH362" s="46"/>
      <c r="AI362" s="46"/>
      <c r="AJ362" s="46"/>
      <c r="AK362" s="50"/>
      <c r="AL362" s="47"/>
      <c r="AM362" s="46"/>
      <c r="AN362" s="46"/>
      <c r="AO362" s="46"/>
      <c r="AP362" s="46"/>
      <c r="AQ362" s="46"/>
      <c r="AR362" s="46"/>
      <c r="AS362" s="46"/>
      <c r="AT362" s="46"/>
      <c r="AU362" s="46"/>
      <c r="AV362" s="46"/>
      <c r="AW362" s="46"/>
      <c r="AX362" s="46"/>
      <c r="AY362" s="46"/>
      <c r="AZ362" s="46"/>
      <c r="BA362" s="46"/>
      <c r="BB362" s="46"/>
      <c r="BC362" s="46"/>
      <c r="BD362" s="46"/>
      <c r="BE362" s="46"/>
    </row>
    <row r="363" spans="1:57" x14ac:dyDescent="0.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c r="AA363" s="46"/>
      <c r="AB363" s="46"/>
      <c r="AC363" s="46"/>
      <c r="AD363" s="46"/>
      <c r="AE363" s="46"/>
      <c r="AF363" s="46"/>
      <c r="AG363" s="46"/>
      <c r="AH363" s="46"/>
      <c r="AI363" s="46"/>
      <c r="AJ363" s="46"/>
      <c r="AK363" s="50"/>
      <c r="AL363" s="47"/>
      <c r="AM363" s="46"/>
      <c r="AN363" s="46"/>
      <c r="AO363" s="46"/>
      <c r="AP363" s="46"/>
      <c r="AQ363" s="46"/>
      <c r="AR363" s="46"/>
      <c r="AS363" s="46"/>
      <c r="AT363" s="46"/>
      <c r="AU363" s="46"/>
      <c r="AV363" s="46"/>
      <c r="AW363" s="46"/>
      <c r="AX363" s="46"/>
      <c r="AY363" s="46"/>
      <c r="AZ363" s="46"/>
      <c r="BA363" s="46"/>
      <c r="BB363" s="46"/>
      <c r="BC363" s="46"/>
      <c r="BD363" s="46"/>
      <c r="BE363" s="46"/>
    </row>
    <row r="364" spans="1:57" x14ac:dyDescent="0.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c r="AA364" s="46"/>
      <c r="AB364" s="46"/>
      <c r="AC364" s="46"/>
      <c r="AD364" s="46"/>
      <c r="AE364" s="46"/>
      <c r="AF364" s="46"/>
      <c r="AG364" s="46"/>
      <c r="AH364" s="46"/>
      <c r="AI364" s="46"/>
      <c r="AJ364" s="46"/>
      <c r="AK364" s="50"/>
      <c r="AL364" s="47"/>
      <c r="AM364" s="46"/>
      <c r="AN364" s="46"/>
      <c r="AO364" s="46"/>
      <c r="AP364" s="46"/>
      <c r="AQ364" s="46"/>
      <c r="AR364" s="46"/>
      <c r="AS364" s="46"/>
      <c r="AT364" s="46"/>
      <c r="AU364" s="46"/>
      <c r="AV364" s="46"/>
      <c r="AW364" s="46"/>
      <c r="AX364" s="46"/>
      <c r="AY364" s="46"/>
      <c r="AZ364" s="46"/>
      <c r="BA364" s="46"/>
      <c r="BB364" s="46"/>
      <c r="BC364" s="46"/>
      <c r="BD364" s="46"/>
      <c r="BE364" s="46"/>
    </row>
    <row r="365" spans="1:57" x14ac:dyDescent="0.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c r="AA365" s="46"/>
      <c r="AB365" s="46"/>
      <c r="AC365" s="46"/>
      <c r="AD365" s="46"/>
      <c r="AE365" s="46"/>
      <c r="AF365" s="46"/>
      <c r="AG365" s="46"/>
      <c r="AH365" s="46"/>
      <c r="AI365" s="46"/>
      <c r="AJ365" s="46"/>
      <c r="AK365" s="50"/>
      <c r="AL365" s="47"/>
      <c r="AM365" s="46"/>
      <c r="AN365" s="46"/>
      <c r="AO365" s="46"/>
      <c r="AP365" s="46"/>
      <c r="AQ365" s="46"/>
      <c r="AR365" s="46"/>
      <c r="AS365" s="46"/>
      <c r="AT365" s="46"/>
      <c r="AU365" s="46"/>
      <c r="AV365" s="46"/>
      <c r="AW365" s="46"/>
      <c r="AX365" s="46"/>
      <c r="AY365" s="46"/>
      <c r="AZ365" s="46"/>
      <c r="BA365" s="46"/>
      <c r="BB365" s="46"/>
      <c r="BC365" s="46"/>
      <c r="BD365" s="46"/>
      <c r="BE365" s="46"/>
    </row>
    <row r="366" spans="1:57" x14ac:dyDescent="0.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50"/>
      <c r="AL366" s="47"/>
      <c r="AM366" s="46"/>
      <c r="AN366" s="46"/>
      <c r="AO366" s="46"/>
      <c r="AP366" s="46"/>
      <c r="AQ366" s="46"/>
      <c r="AR366" s="46"/>
      <c r="AS366" s="46"/>
      <c r="AT366" s="46"/>
      <c r="AU366" s="46"/>
      <c r="AV366" s="46"/>
      <c r="AW366" s="46"/>
      <c r="AX366" s="46"/>
      <c r="AY366" s="46"/>
      <c r="AZ366" s="46"/>
      <c r="BA366" s="46"/>
      <c r="BB366" s="46"/>
      <c r="BC366" s="46"/>
      <c r="BD366" s="46"/>
      <c r="BE366" s="46"/>
    </row>
    <row r="367" spans="1:57" x14ac:dyDescent="0.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c r="AA367" s="46"/>
      <c r="AB367" s="46"/>
      <c r="AC367" s="46"/>
      <c r="AD367" s="46"/>
      <c r="AE367" s="46"/>
      <c r="AF367" s="46"/>
      <c r="AG367" s="46"/>
      <c r="AH367" s="46"/>
      <c r="AI367" s="46"/>
      <c r="AJ367" s="46"/>
      <c r="AK367" s="50"/>
      <c r="AL367" s="47"/>
      <c r="AM367" s="46"/>
      <c r="AN367" s="46"/>
      <c r="AO367" s="46"/>
      <c r="AP367" s="46"/>
      <c r="AQ367" s="46"/>
      <c r="AR367" s="46"/>
      <c r="AS367" s="46"/>
      <c r="AT367" s="46"/>
      <c r="AU367" s="46"/>
      <c r="AV367" s="46"/>
      <c r="AW367" s="46"/>
      <c r="AX367" s="46"/>
      <c r="AY367" s="46"/>
      <c r="AZ367" s="46"/>
      <c r="BA367" s="46"/>
      <c r="BB367" s="46"/>
      <c r="BC367" s="46"/>
      <c r="BD367" s="46"/>
      <c r="BE367" s="46"/>
    </row>
    <row r="368" spans="1:57" x14ac:dyDescent="0.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c r="AA368" s="46"/>
      <c r="AB368" s="46"/>
      <c r="AC368" s="46"/>
      <c r="AD368" s="46"/>
      <c r="AE368" s="46"/>
      <c r="AF368" s="46"/>
      <c r="AG368" s="46"/>
      <c r="AH368" s="46"/>
      <c r="AI368" s="46"/>
      <c r="AJ368" s="46"/>
      <c r="AK368" s="50"/>
      <c r="AL368" s="47"/>
      <c r="AM368" s="46"/>
      <c r="AN368" s="46"/>
      <c r="AO368" s="46"/>
      <c r="AP368" s="46"/>
      <c r="AQ368" s="46"/>
      <c r="AR368" s="46"/>
      <c r="AS368" s="46"/>
      <c r="AT368" s="46"/>
      <c r="AU368" s="46"/>
      <c r="AV368" s="46"/>
      <c r="AW368" s="46"/>
      <c r="AX368" s="46"/>
      <c r="AY368" s="46"/>
      <c r="AZ368" s="46"/>
      <c r="BA368" s="46"/>
      <c r="BB368" s="46"/>
      <c r="BC368" s="46"/>
      <c r="BD368" s="46"/>
      <c r="BE368" s="46"/>
    </row>
    <row r="369" spans="1:57" x14ac:dyDescent="0.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c r="AA369" s="46"/>
      <c r="AB369" s="46"/>
      <c r="AC369" s="46"/>
      <c r="AD369" s="46"/>
      <c r="AE369" s="46"/>
      <c r="AF369" s="46"/>
      <c r="AG369" s="46"/>
      <c r="AH369" s="46"/>
      <c r="AI369" s="46"/>
      <c r="AJ369" s="46"/>
      <c r="AK369" s="50"/>
      <c r="AL369" s="47"/>
      <c r="AM369" s="46"/>
      <c r="AN369" s="46"/>
      <c r="AO369" s="46"/>
      <c r="AP369" s="46"/>
      <c r="AQ369" s="46"/>
      <c r="AR369" s="46"/>
      <c r="AS369" s="46"/>
      <c r="AT369" s="46"/>
      <c r="AU369" s="46"/>
      <c r="AV369" s="46"/>
      <c r="AW369" s="46"/>
      <c r="AX369" s="46"/>
      <c r="AY369" s="46"/>
      <c r="AZ369" s="46"/>
      <c r="BA369" s="46"/>
      <c r="BB369" s="46"/>
      <c r="BC369" s="46"/>
      <c r="BD369" s="46"/>
      <c r="BE369" s="46"/>
    </row>
    <row r="370" spans="1:57" x14ac:dyDescent="0.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c r="AA370" s="46"/>
      <c r="AB370" s="46"/>
      <c r="AC370" s="46"/>
      <c r="AD370" s="46"/>
      <c r="AE370" s="46"/>
      <c r="AF370" s="46"/>
      <c r="AG370" s="46"/>
      <c r="AH370" s="46"/>
      <c r="AI370" s="46"/>
      <c r="AJ370" s="46"/>
      <c r="AK370" s="50"/>
      <c r="AL370" s="47"/>
      <c r="AM370" s="46"/>
      <c r="AN370" s="46"/>
      <c r="AO370" s="46"/>
      <c r="AP370" s="46"/>
      <c r="AQ370" s="46"/>
      <c r="AR370" s="46"/>
      <c r="AS370" s="46"/>
      <c r="AT370" s="46"/>
      <c r="AU370" s="46"/>
      <c r="AV370" s="46"/>
      <c r="AW370" s="46"/>
      <c r="AX370" s="46"/>
      <c r="AY370" s="46"/>
      <c r="AZ370" s="46"/>
      <c r="BA370" s="46"/>
      <c r="BB370" s="46"/>
      <c r="BC370" s="46"/>
      <c r="BD370" s="46"/>
      <c r="BE370" s="46"/>
    </row>
    <row r="371" spans="1:57" x14ac:dyDescent="0.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c r="AA371" s="46"/>
      <c r="AB371" s="46"/>
      <c r="AC371" s="46"/>
      <c r="AD371" s="46"/>
      <c r="AE371" s="46"/>
      <c r="AF371" s="46"/>
      <c r="AG371" s="46"/>
      <c r="AH371" s="46"/>
      <c r="AI371" s="46"/>
      <c r="AJ371" s="46"/>
      <c r="AK371" s="50"/>
      <c r="AL371" s="47"/>
      <c r="AM371" s="46"/>
      <c r="AN371" s="46"/>
      <c r="AO371" s="46"/>
      <c r="AP371" s="46"/>
      <c r="AQ371" s="46"/>
      <c r="AR371" s="46"/>
      <c r="AS371" s="46"/>
      <c r="AT371" s="46"/>
      <c r="AU371" s="46"/>
      <c r="AV371" s="46"/>
      <c r="AW371" s="46"/>
      <c r="AX371" s="46"/>
      <c r="AY371" s="46"/>
      <c r="AZ371" s="46"/>
      <c r="BA371" s="46"/>
      <c r="BB371" s="46"/>
      <c r="BC371" s="46"/>
      <c r="BD371" s="46"/>
      <c r="BE371" s="46"/>
    </row>
    <row r="372" spans="1:57" x14ac:dyDescent="0.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c r="AA372" s="46"/>
      <c r="AB372" s="46"/>
      <c r="AC372" s="46"/>
      <c r="AD372" s="46"/>
      <c r="AE372" s="46"/>
      <c r="AF372" s="46"/>
      <c r="AG372" s="46"/>
      <c r="AH372" s="46"/>
      <c r="AI372" s="46"/>
      <c r="AJ372" s="46"/>
      <c r="AK372" s="50"/>
      <c r="AL372" s="47"/>
      <c r="AM372" s="46"/>
      <c r="AN372" s="46"/>
      <c r="AO372" s="46"/>
      <c r="AP372" s="46"/>
      <c r="AQ372" s="46"/>
      <c r="AR372" s="46"/>
      <c r="AS372" s="46"/>
      <c r="AT372" s="46"/>
      <c r="AU372" s="46"/>
      <c r="AV372" s="46"/>
      <c r="AW372" s="46"/>
      <c r="AX372" s="46"/>
      <c r="AY372" s="46"/>
      <c r="AZ372" s="46"/>
      <c r="BA372" s="46"/>
      <c r="BB372" s="46"/>
      <c r="BC372" s="46"/>
      <c r="BD372" s="46"/>
      <c r="BE372" s="46"/>
    </row>
    <row r="373" spans="1:57" x14ac:dyDescent="0.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c r="AA373" s="46"/>
      <c r="AB373" s="46"/>
      <c r="AC373" s="46"/>
      <c r="AD373" s="46"/>
      <c r="AE373" s="46"/>
      <c r="AF373" s="46"/>
      <c r="AG373" s="46"/>
      <c r="AH373" s="46"/>
      <c r="AI373" s="46"/>
      <c r="AJ373" s="46"/>
      <c r="AK373" s="50"/>
      <c r="AL373" s="47"/>
      <c r="AM373" s="46"/>
      <c r="AN373" s="46"/>
      <c r="AO373" s="46"/>
      <c r="AP373" s="46"/>
      <c r="AQ373" s="46"/>
      <c r="AR373" s="46"/>
      <c r="AS373" s="46"/>
      <c r="AT373" s="46"/>
      <c r="AU373" s="46"/>
      <c r="AV373" s="46"/>
      <c r="AW373" s="46"/>
      <c r="AX373" s="46"/>
      <c r="AY373" s="46"/>
      <c r="AZ373" s="46"/>
      <c r="BA373" s="46"/>
      <c r="BB373" s="46"/>
      <c r="BC373" s="46"/>
      <c r="BD373" s="46"/>
      <c r="BE373" s="46"/>
    </row>
    <row r="374" spans="1:57" x14ac:dyDescent="0.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c r="AA374" s="46"/>
      <c r="AB374" s="46"/>
      <c r="AC374" s="46"/>
      <c r="AD374" s="46"/>
      <c r="AE374" s="46"/>
      <c r="AF374" s="46"/>
      <c r="AG374" s="46"/>
      <c r="AH374" s="46"/>
      <c r="AI374" s="46"/>
      <c r="AJ374" s="46"/>
      <c r="AK374" s="50"/>
      <c r="AL374" s="47"/>
      <c r="AM374" s="46"/>
      <c r="AN374" s="46"/>
      <c r="AO374" s="46"/>
      <c r="AP374" s="46"/>
      <c r="AQ374" s="46"/>
      <c r="AR374" s="46"/>
      <c r="AS374" s="46"/>
      <c r="AT374" s="46"/>
      <c r="AU374" s="46"/>
      <c r="AV374" s="46"/>
      <c r="AW374" s="46"/>
      <c r="AX374" s="46"/>
      <c r="AY374" s="46"/>
      <c r="AZ374" s="46"/>
      <c r="BA374" s="46"/>
      <c r="BB374" s="46"/>
      <c r="BC374" s="46"/>
      <c r="BD374" s="46"/>
      <c r="BE374" s="46"/>
    </row>
    <row r="375" spans="1:57" x14ac:dyDescent="0.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c r="AA375" s="46"/>
      <c r="AB375" s="46"/>
      <c r="AC375" s="46"/>
      <c r="AD375" s="46"/>
      <c r="AE375" s="46"/>
      <c r="AF375" s="46"/>
      <c r="AG375" s="46"/>
      <c r="AH375" s="46"/>
      <c r="AI375" s="46"/>
      <c r="AJ375" s="46"/>
      <c r="AK375" s="50"/>
      <c r="AL375" s="47"/>
      <c r="AM375" s="46"/>
      <c r="AN375" s="46"/>
      <c r="AO375" s="46"/>
      <c r="AP375" s="46"/>
      <c r="AQ375" s="46"/>
      <c r="AR375" s="46"/>
      <c r="AS375" s="46"/>
      <c r="AT375" s="46"/>
      <c r="AU375" s="46"/>
      <c r="AV375" s="46"/>
      <c r="AW375" s="46"/>
      <c r="AX375" s="46"/>
      <c r="AY375" s="46"/>
      <c r="AZ375" s="46"/>
      <c r="BA375" s="46"/>
      <c r="BB375" s="46"/>
      <c r="BC375" s="46"/>
      <c r="BD375" s="46"/>
      <c r="BE375" s="46"/>
    </row>
    <row r="376" spans="1:57" x14ac:dyDescent="0.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c r="AA376" s="46"/>
      <c r="AB376" s="46"/>
      <c r="AC376" s="46"/>
      <c r="AD376" s="46"/>
      <c r="AE376" s="46"/>
      <c r="AF376" s="46"/>
      <c r="AG376" s="46"/>
      <c r="AH376" s="46"/>
      <c r="AI376" s="46"/>
      <c r="AJ376" s="46"/>
      <c r="AK376" s="50"/>
      <c r="AL376" s="47"/>
      <c r="AM376" s="46"/>
      <c r="AN376" s="46"/>
      <c r="AO376" s="46"/>
      <c r="AP376" s="46"/>
      <c r="AQ376" s="46"/>
      <c r="AR376" s="46"/>
      <c r="AS376" s="46"/>
      <c r="AT376" s="46"/>
      <c r="AU376" s="46"/>
      <c r="AV376" s="46"/>
      <c r="AW376" s="46"/>
      <c r="AX376" s="46"/>
      <c r="AY376" s="46"/>
      <c r="AZ376" s="46"/>
      <c r="BA376" s="46"/>
      <c r="BB376" s="46"/>
      <c r="BC376" s="46"/>
      <c r="BD376" s="46"/>
      <c r="BE376" s="46"/>
    </row>
    <row r="377" spans="1:57" x14ac:dyDescent="0.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c r="AA377" s="46"/>
      <c r="AB377" s="46"/>
      <c r="AC377" s="46"/>
      <c r="AD377" s="46"/>
      <c r="AE377" s="46"/>
      <c r="AF377" s="46"/>
      <c r="AG377" s="46"/>
      <c r="AH377" s="46"/>
      <c r="AI377" s="46"/>
      <c r="AJ377" s="46"/>
      <c r="AK377" s="50"/>
      <c r="AL377" s="47"/>
      <c r="AM377" s="46"/>
      <c r="AN377" s="46"/>
      <c r="AO377" s="46"/>
      <c r="AP377" s="46"/>
      <c r="AQ377" s="46"/>
      <c r="AR377" s="46"/>
      <c r="AS377" s="46"/>
      <c r="AT377" s="46"/>
      <c r="AU377" s="46"/>
      <c r="AV377" s="46"/>
      <c r="AW377" s="46"/>
      <c r="AX377" s="46"/>
      <c r="AY377" s="46"/>
      <c r="AZ377" s="46"/>
      <c r="BA377" s="46"/>
      <c r="BB377" s="46"/>
      <c r="BC377" s="46"/>
      <c r="BD377" s="46"/>
      <c r="BE377" s="46"/>
    </row>
    <row r="378" spans="1:57" x14ac:dyDescent="0.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c r="AA378" s="46"/>
      <c r="AB378" s="46"/>
      <c r="AC378" s="46"/>
      <c r="AD378" s="46"/>
      <c r="AE378" s="46"/>
      <c r="AF378" s="46"/>
      <c r="AG378" s="46"/>
      <c r="AH378" s="46"/>
      <c r="AI378" s="46"/>
      <c r="AJ378" s="46"/>
      <c r="AK378" s="50"/>
      <c r="AL378" s="47"/>
      <c r="AM378" s="46"/>
      <c r="AN378" s="46"/>
      <c r="AO378" s="46"/>
      <c r="AP378" s="46"/>
      <c r="AQ378" s="46"/>
      <c r="AR378" s="46"/>
      <c r="AS378" s="46"/>
      <c r="AT378" s="46"/>
      <c r="AU378" s="46"/>
      <c r="AV378" s="46"/>
      <c r="AW378" s="46"/>
      <c r="AX378" s="46"/>
      <c r="AY378" s="46"/>
      <c r="AZ378" s="46"/>
      <c r="BA378" s="46"/>
      <c r="BB378" s="46"/>
      <c r="BC378" s="46"/>
      <c r="BD378" s="46"/>
      <c r="BE378" s="46"/>
    </row>
    <row r="379" spans="1:57" x14ac:dyDescent="0.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c r="AA379" s="46"/>
      <c r="AB379" s="46"/>
      <c r="AC379" s="46"/>
      <c r="AD379" s="46"/>
      <c r="AE379" s="46"/>
      <c r="AF379" s="46"/>
      <c r="AG379" s="46"/>
      <c r="AH379" s="46"/>
      <c r="AI379" s="46"/>
      <c r="AJ379" s="46"/>
      <c r="AK379" s="50"/>
      <c r="AL379" s="47"/>
      <c r="AM379" s="46"/>
      <c r="AN379" s="46"/>
      <c r="AO379" s="46"/>
      <c r="AP379" s="46"/>
      <c r="AQ379" s="46"/>
      <c r="AR379" s="46"/>
      <c r="AS379" s="46"/>
      <c r="AT379" s="46"/>
      <c r="AU379" s="46"/>
      <c r="AV379" s="46"/>
      <c r="AW379" s="46"/>
      <c r="AX379" s="46"/>
      <c r="AY379" s="46"/>
      <c r="AZ379" s="46"/>
      <c r="BA379" s="46"/>
      <c r="BB379" s="46"/>
      <c r="BC379" s="46"/>
      <c r="BD379" s="46"/>
      <c r="BE379" s="46"/>
    </row>
    <row r="380" spans="1:57" x14ac:dyDescent="0.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c r="AA380" s="46"/>
      <c r="AB380" s="46"/>
      <c r="AC380" s="46"/>
      <c r="AD380" s="46"/>
      <c r="AE380" s="46"/>
      <c r="AF380" s="46"/>
      <c r="AG380" s="46"/>
      <c r="AH380" s="46"/>
      <c r="AI380" s="46"/>
      <c r="AJ380" s="46"/>
      <c r="AK380" s="50"/>
      <c r="AL380" s="47"/>
      <c r="AM380" s="46"/>
      <c r="AN380" s="46"/>
      <c r="AO380" s="46"/>
      <c r="AP380" s="46"/>
      <c r="AQ380" s="46"/>
      <c r="AR380" s="46"/>
      <c r="AS380" s="46"/>
      <c r="AT380" s="46"/>
      <c r="AU380" s="46"/>
      <c r="AV380" s="46"/>
      <c r="AW380" s="46"/>
      <c r="AX380" s="46"/>
      <c r="AY380" s="46"/>
      <c r="AZ380" s="46"/>
      <c r="BA380" s="46"/>
      <c r="BB380" s="46"/>
      <c r="BC380" s="46"/>
      <c r="BD380" s="46"/>
      <c r="BE380" s="46"/>
    </row>
    <row r="381" spans="1:57" x14ac:dyDescent="0.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c r="AA381" s="46"/>
      <c r="AB381" s="46"/>
      <c r="AC381" s="46"/>
      <c r="AD381" s="46"/>
      <c r="AE381" s="46"/>
      <c r="AF381" s="46"/>
      <c r="AG381" s="46"/>
      <c r="AH381" s="46"/>
      <c r="AI381" s="46"/>
      <c r="AJ381" s="46"/>
      <c r="AK381" s="50"/>
      <c r="AL381" s="47"/>
      <c r="AM381" s="46"/>
      <c r="AN381" s="46"/>
      <c r="AO381" s="46"/>
      <c r="AP381" s="46"/>
      <c r="AQ381" s="46"/>
      <c r="AR381" s="46"/>
      <c r="AS381" s="46"/>
      <c r="AT381" s="46"/>
      <c r="AU381" s="46"/>
      <c r="AV381" s="46"/>
      <c r="AW381" s="46"/>
      <c r="AX381" s="46"/>
      <c r="AY381" s="46"/>
      <c r="AZ381" s="46"/>
      <c r="BA381" s="46"/>
      <c r="BB381" s="46"/>
      <c r="BC381" s="46"/>
      <c r="BD381" s="46"/>
      <c r="BE381" s="46"/>
    </row>
    <row r="382" spans="1:57" x14ac:dyDescent="0.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c r="AA382" s="46"/>
      <c r="AB382" s="46"/>
      <c r="AC382" s="46"/>
      <c r="AD382" s="46"/>
      <c r="AE382" s="46"/>
      <c r="AF382" s="46"/>
      <c r="AG382" s="46"/>
      <c r="AH382" s="46"/>
      <c r="AI382" s="46"/>
      <c r="AJ382" s="46"/>
      <c r="AK382" s="50"/>
      <c r="AL382" s="47"/>
      <c r="AM382" s="46"/>
      <c r="AN382" s="46"/>
      <c r="AO382" s="46"/>
      <c r="AP382" s="46"/>
      <c r="AQ382" s="46"/>
      <c r="AR382" s="46"/>
      <c r="AS382" s="46"/>
      <c r="AT382" s="46"/>
      <c r="AU382" s="46"/>
      <c r="AV382" s="46"/>
      <c r="AW382" s="46"/>
      <c r="AX382" s="46"/>
      <c r="AY382" s="46"/>
      <c r="AZ382" s="46"/>
      <c r="BA382" s="46"/>
      <c r="BB382" s="46"/>
      <c r="BC382" s="46"/>
      <c r="BD382" s="46"/>
      <c r="BE382" s="46"/>
    </row>
    <row r="383" spans="1:57" x14ac:dyDescent="0.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c r="AA383" s="46"/>
      <c r="AB383" s="46"/>
      <c r="AC383" s="46"/>
      <c r="AD383" s="46"/>
      <c r="AE383" s="46"/>
      <c r="AF383" s="46"/>
      <c r="AG383" s="46"/>
      <c r="AH383" s="46"/>
      <c r="AI383" s="46"/>
      <c r="AJ383" s="46"/>
      <c r="AK383" s="50"/>
      <c r="AL383" s="47"/>
      <c r="AM383" s="46"/>
      <c r="AN383" s="46"/>
      <c r="AO383" s="46"/>
      <c r="AP383" s="46"/>
      <c r="AQ383" s="46"/>
      <c r="AR383" s="46"/>
      <c r="AS383" s="46"/>
      <c r="AT383" s="46"/>
      <c r="AU383" s="46"/>
      <c r="AV383" s="46"/>
      <c r="AW383" s="46"/>
      <c r="AX383" s="46"/>
      <c r="AY383" s="46"/>
      <c r="AZ383" s="46"/>
      <c r="BA383" s="46"/>
      <c r="BB383" s="46"/>
      <c r="BC383" s="46"/>
      <c r="BD383" s="46"/>
      <c r="BE383" s="46"/>
    </row>
    <row r="384" spans="1:57" x14ac:dyDescent="0.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c r="AA384" s="46"/>
      <c r="AB384" s="46"/>
      <c r="AC384" s="46"/>
      <c r="AD384" s="46"/>
      <c r="AE384" s="46"/>
      <c r="AF384" s="46"/>
      <c r="AG384" s="46"/>
      <c r="AH384" s="46"/>
      <c r="AI384" s="46"/>
      <c r="AJ384" s="46"/>
      <c r="AK384" s="50"/>
      <c r="AL384" s="47"/>
      <c r="AM384" s="46"/>
      <c r="AN384" s="46"/>
      <c r="AO384" s="46"/>
      <c r="AP384" s="46"/>
      <c r="AQ384" s="46"/>
      <c r="AR384" s="46"/>
      <c r="AS384" s="46"/>
      <c r="AT384" s="46"/>
      <c r="AU384" s="46"/>
      <c r="AV384" s="46"/>
      <c r="AW384" s="46"/>
      <c r="AX384" s="46"/>
      <c r="AY384" s="46"/>
      <c r="AZ384" s="46"/>
      <c r="BA384" s="46"/>
      <c r="BB384" s="46"/>
      <c r="BC384" s="46"/>
      <c r="BD384" s="46"/>
      <c r="BE384" s="46"/>
    </row>
    <row r="385" spans="1:57" x14ac:dyDescent="0.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c r="AA385" s="46"/>
      <c r="AB385" s="46"/>
      <c r="AC385" s="46"/>
      <c r="AD385" s="46"/>
      <c r="AE385" s="46"/>
      <c r="AF385" s="46"/>
      <c r="AG385" s="46"/>
      <c r="AH385" s="46"/>
      <c r="AI385" s="46"/>
      <c r="AJ385" s="46"/>
      <c r="AK385" s="50"/>
      <c r="AL385" s="47"/>
      <c r="AM385" s="46"/>
      <c r="AN385" s="46"/>
      <c r="AO385" s="46"/>
      <c r="AP385" s="46"/>
      <c r="AQ385" s="46"/>
      <c r="AR385" s="46"/>
      <c r="AS385" s="46"/>
      <c r="AT385" s="46"/>
      <c r="AU385" s="46"/>
      <c r="AV385" s="46"/>
      <c r="AW385" s="46"/>
      <c r="AX385" s="46"/>
      <c r="AY385" s="46"/>
      <c r="AZ385" s="46"/>
      <c r="BA385" s="46"/>
      <c r="BB385" s="46"/>
      <c r="BC385" s="46"/>
      <c r="BD385" s="46"/>
      <c r="BE385" s="46"/>
    </row>
    <row r="386" spans="1:57" x14ac:dyDescent="0.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c r="AA386" s="46"/>
      <c r="AB386" s="46"/>
      <c r="AC386" s="46"/>
      <c r="AD386" s="46"/>
      <c r="AE386" s="46"/>
      <c r="AF386" s="46"/>
      <c r="AG386" s="46"/>
      <c r="AH386" s="46"/>
      <c r="AI386" s="46"/>
      <c r="AJ386" s="46"/>
      <c r="AK386" s="50"/>
      <c r="AL386" s="47"/>
      <c r="AM386" s="46"/>
      <c r="AN386" s="46"/>
      <c r="AO386" s="46"/>
      <c r="AP386" s="46"/>
      <c r="AQ386" s="46"/>
      <c r="AR386" s="46"/>
      <c r="AS386" s="46"/>
      <c r="AT386" s="46"/>
      <c r="AU386" s="46"/>
      <c r="AV386" s="46"/>
      <c r="AW386" s="46"/>
      <c r="AX386" s="46"/>
      <c r="AY386" s="46"/>
      <c r="AZ386" s="46"/>
      <c r="BA386" s="46"/>
      <c r="BB386" s="46"/>
      <c r="BC386" s="46"/>
      <c r="BD386" s="46"/>
      <c r="BE386" s="46"/>
    </row>
    <row r="387" spans="1:57" x14ac:dyDescent="0.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c r="AA387" s="46"/>
      <c r="AB387" s="46"/>
      <c r="AC387" s="46"/>
      <c r="AD387" s="46"/>
      <c r="AE387" s="46"/>
      <c r="AF387" s="46"/>
      <c r="AG387" s="46"/>
      <c r="AH387" s="46"/>
      <c r="AI387" s="46"/>
      <c r="AJ387" s="46"/>
      <c r="AK387" s="50"/>
      <c r="AL387" s="47"/>
      <c r="AM387" s="46"/>
      <c r="AN387" s="46"/>
      <c r="AO387" s="46"/>
      <c r="AP387" s="46"/>
      <c r="AQ387" s="46"/>
      <c r="AR387" s="46"/>
      <c r="AS387" s="46"/>
      <c r="AT387" s="46"/>
      <c r="AU387" s="46"/>
      <c r="AV387" s="46"/>
      <c r="AW387" s="46"/>
      <c r="AX387" s="46"/>
      <c r="AY387" s="46"/>
      <c r="AZ387" s="46"/>
      <c r="BA387" s="46"/>
      <c r="BB387" s="46"/>
      <c r="BC387" s="46"/>
      <c r="BD387" s="46"/>
      <c r="BE387" s="46"/>
    </row>
    <row r="388" spans="1:57" x14ac:dyDescent="0.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50"/>
      <c r="AL388" s="47"/>
      <c r="AM388" s="46"/>
      <c r="AN388" s="46"/>
      <c r="AO388" s="46"/>
      <c r="AP388" s="46"/>
      <c r="AQ388" s="46"/>
      <c r="AR388" s="46"/>
      <c r="AS388" s="46"/>
      <c r="AT388" s="46"/>
      <c r="AU388" s="46"/>
      <c r="AV388" s="46"/>
      <c r="AW388" s="46"/>
      <c r="AX388" s="46"/>
      <c r="AY388" s="46"/>
      <c r="AZ388" s="46"/>
      <c r="BA388" s="46"/>
      <c r="BB388" s="46"/>
      <c r="BC388" s="46"/>
      <c r="BD388" s="46"/>
      <c r="BE388" s="46"/>
    </row>
    <row r="389" spans="1:57" x14ac:dyDescent="0.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c r="AA389" s="46"/>
      <c r="AB389" s="46"/>
      <c r="AC389" s="46"/>
      <c r="AD389" s="46"/>
      <c r="AE389" s="46"/>
      <c r="AF389" s="46"/>
      <c r="AG389" s="46"/>
      <c r="AH389" s="46"/>
      <c r="AI389" s="46"/>
      <c r="AJ389" s="46"/>
      <c r="AK389" s="50"/>
      <c r="AL389" s="47"/>
      <c r="AM389" s="46"/>
      <c r="AN389" s="46"/>
      <c r="AO389" s="46"/>
      <c r="AP389" s="46"/>
      <c r="AQ389" s="46"/>
      <c r="AR389" s="46"/>
      <c r="AS389" s="46"/>
      <c r="AT389" s="46"/>
      <c r="AU389" s="46"/>
      <c r="AV389" s="46"/>
      <c r="AW389" s="46"/>
      <c r="AX389" s="46"/>
      <c r="AY389" s="46"/>
      <c r="AZ389" s="46"/>
      <c r="BA389" s="46"/>
      <c r="BB389" s="46"/>
      <c r="BC389" s="46"/>
      <c r="BD389" s="46"/>
      <c r="BE389" s="46"/>
    </row>
    <row r="390" spans="1:57" x14ac:dyDescent="0.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c r="AA390" s="46"/>
      <c r="AB390" s="46"/>
      <c r="AC390" s="46"/>
      <c r="AD390" s="46"/>
      <c r="AE390" s="46"/>
      <c r="AF390" s="46"/>
      <c r="AG390" s="46"/>
      <c r="AH390" s="46"/>
      <c r="AI390" s="46"/>
      <c r="AJ390" s="46"/>
      <c r="AK390" s="50"/>
      <c r="AL390" s="47"/>
      <c r="AM390" s="46"/>
      <c r="AN390" s="46"/>
      <c r="AO390" s="46"/>
      <c r="AP390" s="46"/>
      <c r="AQ390" s="46"/>
      <c r="AR390" s="46"/>
      <c r="AS390" s="46"/>
      <c r="AT390" s="46"/>
      <c r="AU390" s="46"/>
      <c r="AV390" s="46"/>
      <c r="AW390" s="46"/>
      <c r="AX390" s="46"/>
      <c r="AY390" s="46"/>
      <c r="AZ390" s="46"/>
      <c r="BA390" s="46"/>
      <c r="BB390" s="46"/>
      <c r="BC390" s="46"/>
      <c r="BD390" s="46"/>
      <c r="BE390" s="46"/>
    </row>
    <row r="391" spans="1:57" x14ac:dyDescent="0.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c r="AA391" s="46"/>
      <c r="AB391" s="46"/>
      <c r="AC391" s="46"/>
      <c r="AD391" s="46"/>
      <c r="AE391" s="46"/>
      <c r="AF391" s="46"/>
      <c r="AG391" s="46"/>
      <c r="AH391" s="46"/>
      <c r="AI391" s="46"/>
      <c r="AJ391" s="46"/>
      <c r="AK391" s="50"/>
      <c r="AL391" s="47"/>
      <c r="AM391" s="46"/>
      <c r="AN391" s="46"/>
      <c r="AO391" s="46"/>
      <c r="AP391" s="46"/>
      <c r="AQ391" s="46"/>
      <c r="AR391" s="46"/>
      <c r="AS391" s="46"/>
      <c r="AT391" s="46"/>
      <c r="AU391" s="46"/>
      <c r="AV391" s="46"/>
      <c r="AW391" s="46"/>
      <c r="AX391" s="46"/>
      <c r="AY391" s="46"/>
      <c r="AZ391" s="46"/>
      <c r="BA391" s="46"/>
      <c r="BB391" s="46"/>
      <c r="BC391" s="46"/>
      <c r="BD391" s="46"/>
      <c r="BE391" s="46"/>
    </row>
    <row r="392" spans="1:57" x14ac:dyDescent="0.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c r="AA392" s="46"/>
      <c r="AB392" s="46"/>
      <c r="AC392" s="46"/>
      <c r="AD392" s="46"/>
      <c r="AE392" s="46"/>
      <c r="AF392" s="46"/>
      <c r="AG392" s="46"/>
      <c r="AH392" s="46"/>
      <c r="AI392" s="46"/>
      <c r="AJ392" s="46"/>
      <c r="AK392" s="50"/>
      <c r="AL392" s="47"/>
      <c r="AM392" s="46"/>
      <c r="AN392" s="46"/>
      <c r="AO392" s="46"/>
      <c r="AP392" s="46"/>
      <c r="AQ392" s="46"/>
      <c r="AR392" s="46"/>
      <c r="AS392" s="46"/>
      <c r="AT392" s="46"/>
      <c r="AU392" s="46"/>
      <c r="AV392" s="46"/>
      <c r="AW392" s="46"/>
      <c r="AX392" s="46"/>
      <c r="AY392" s="46"/>
      <c r="AZ392" s="46"/>
      <c r="BA392" s="46"/>
      <c r="BB392" s="46"/>
      <c r="BC392" s="46"/>
      <c r="BD392" s="46"/>
      <c r="BE392" s="46"/>
    </row>
    <row r="393" spans="1:57" x14ac:dyDescent="0.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c r="AA393" s="46"/>
      <c r="AB393" s="46"/>
      <c r="AC393" s="46"/>
      <c r="AD393" s="46"/>
      <c r="AE393" s="46"/>
      <c r="AF393" s="46"/>
      <c r="AG393" s="46"/>
      <c r="AH393" s="46"/>
      <c r="AI393" s="46"/>
      <c r="AJ393" s="46"/>
      <c r="AK393" s="50"/>
      <c r="AL393" s="47"/>
      <c r="AM393" s="46"/>
      <c r="AN393" s="46"/>
      <c r="AO393" s="46"/>
      <c r="AP393" s="46"/>
      <c r="AQ393" s="46"/>
      <c r="AR393" s="46"/>
      <c r="AS393" s="46"/>
      <c r="AT393" s="46"/>
      <c r="AU393" s="46"/>
      <c r="AV393" s="46"/>
      <c r="AW393" s="46"/>
      <c r="AX393" s="46"/>
      <c r="AY393" s="46"/>
      <c r="AZ393" s="46"/>
      <c r="BA393" s="46"/>
      <c r="BB393" s="46"/>
      <c r="BC393" s="46"/>
      <c r="BD393" s="46"/>
      <c r="BE393" s="46"/>
    </row>
    <row r="394" spans="1:57" x14ac:dyDescent="0.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c r="AA394" s="46"/>
      <c r="AB394" s="46"/>
      <c r="AC394" s="46"/>
      <c r="AD394" s="46"/>
      <c r="AE394" s="46"/>
      <c r="AF394" s="46"/>
      <c r="AG394" s="46"/>
      <c r="AH394" s="46"/>
      <c r="AI394" s="46"/>
      <c r="AJ394" s="46"/>
      <c r="AK394" s="50"/>
      <c r="AL394" s="47"/>
      <c r="AM394" s="46"/>
      <c r="AN394" s="46"/>
      <c r="AO394" s="46"/>
      <c r="AP394" s="46"/>
      <c r="AQ394" s="46"/>
      <c r="AR394" s="46"/>
      <c r="AS394" s="46"/>
      <c r="AT394" s="46"/>
      <c r="AU394" s="46"/>
      <c r="AV394" s="46"/>
      <c r="AW394" s="46"/>
      <c r="AX394" s="46"/>
      <c r="AY394" s="46"/>
      <c r="AZ394" s="46"/>
      <c r="BA394" s="46"/>
      <c r="BB394" s="46"/>
      <c r="BC394" s="46"/>
      <c r="BD394" s="46"/>
      <c r="BE394" s="46"/>
    </row>
    <row r="395" spans="1:57" x14ac:dyDescent="0.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c r="AA395" s="46"/>
      <c r="AB395" s="46"/>
      <c r="AC395" s="46"/>
      <c r="AD395" s="46"/>
      <c r="AE395" s="46"/>
      <c r="AF395" s="46"/>
      <c r="AG395" s="46"/>
      <c r="AH395" s="46"/>
      <c r="AI395" s="46"/>
      <c r="AJ395" s="46"/>
      <c r="AK395" s="50"/>
      <c r="AL395" s="47"/>
      <c r="AM395" s="46"/>
      <c r="AN395" s="46"/>
      <c r="AO395" s="46"/>
      <c r="AP395" s="46"/>
      <c r="AQ395" s="46"/>
      <c r="AR395" s="46"/>
      <c r="AS395" s="46"/>
      <c r="AT395" s="46"/>
      <c r="AU395" s="46"/>
      <c r="AV395" s="46"/>
      <c r="AW395" s="46"/>
      <c r="AX395" s="46"/>
      <c r="AY395" s="46"/>
      <c r="AZ395" s="46"/>
      <c r="BA395" s="46"/>
      <c r="BB395" s="46"/>
      <c r="BC395" s="46"/>
      <c r="BD395" s="46"/>
      <c r="BE395" s="46"/>
    </row>
    <row r="396" spans="1:57" x14ac:dyDescent="0.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c r="AA396" s="46"/>
      <c r="AB396" s="46"/>
      <c r="AC396" s="46"/>
      <c r="AD396" s="46"/>
      <c r="AE396" s="46"/>
      <c r="AF396" s="46"/>
      <c r="AG396" s="46"/>
      <c r="AH396" s="46"/>
      <c r="AI396" s="46"/>
      <c r="AJ396" s="46"/>
      <c r="AK396" s="50"/>
      <c r="AL396" s="47"/>
      <c r="AM396" s="46"/>
      <c r="AN396" s="46"/>
      <c r="AO396" s="46"/>
      <c r="AP396" s="46"/>
      <c r="AQ396" s="46"/>
      <c r="AR396" s="46"/>
      <c r="AS396" s="46"/>
      <c r="AT396" s="46"/>
      <c r="AU396" s="46"/>
      <c r="AV396" s="46"/>
      <c r="AW396" s="46"/>
      <c r="AX396" s="46"/>
      <c r="AY396" s="46"/>
      <c r="AZ396" s="46"/>
      <c r="BA396" s="46"/>
      <c r="BB396" s="46"/>
      <c r="BC396" s="46"/>
      <c r="BD396" s="46"/>
      <c r="BE396" s="46"/>
    </row>
    <row r="397" spans="1:57" x14ac:dyDescent="0.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c r="AA397" s="46"/>
      <c r="AB397" s="46"/>
      <c r="AC397" s="46"/>
      <c r="AD397" s="46"/>
      <c r="AE397" s="46"/>
      <c r="AF397" s="46"/>
      <c r="AG397" s="46"/>
      <c r="AH397" s="46"/>
      <c r="AI397" s="46"/>
      <c r="AJ397" s="46"/>
      <c r="AK397" s="50"/>
      <c r="AL397" s="47"/>
      <c r="AM397" s="46"/>
      <c r="AN397" s="46"/>
      <c r="AO397" s="46"/>
      <c r="AP397" s="46"/>
      <c r="AQ397" s="46"/>
      <c r="AR397" s="46"/>
      <c r="AS397" s="46"/>
      <c r="AT397" s="46"/>
      <c r="AU397" s="46"/>
      <c r="AV397" s="46"/>
      <c r="AW397" s="46"/>
      <c r="AX397" s="46"/>
      <c r="AY397" s="46"/>
      <c r="AZ397" s="46"/>
      <c r="BA397" s="46"/>
      <c r="BB397" s="46"/>
      <c r="BC397" s="46"/>
      <c r="BD397" s="46"/>
      <c r="BE397" s="46"/>
    </row>
    <row r="398" spans="1:57" x14ac:dyDescent="0.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c r="AA398" s="46"/>
      <c r="AB398" s="46"/>
      <c r="AC398" s="46"/>
      <c r="AD398" s="46"/>
      <c r="AE398" s="46"/>
      <c r="AF398" s="46"/>
      <c r="AG398" s="46"/>
      <c r="AH398" s="46"/>
      <c r="AI398" s="46"/>
      <c r="AJ398" s="46"/>
      <c r="AK398" s="50"/>
      <c r="AL398" s="47"/>
      <c r="AM398" s="46"/>
      <c r="AN398" s="46"/>
      <c r="AO398" s="46"/>
      <c r="AP398" s="46"/>
      <c r="AQ398" s="46"/>
      <c r="AR398" s="46"/>
      <c r="AS398" s="46"/>
      <c r="AT398" s="46"/>
      <c r="AU398" s="46"/>
      <c r="AV398" s="46"/>
      <c r="AW398" s="46"/>
      <c r="AX398" s="46"/>
      <c r="AY398" s="46"/>
      <c r="AZ398" s="46"/>
      <c r="BA398" s="46"/>
      <c r="BB398" s="46"/>
      <c r="BC398" s="46"/>
      <c r="BD398" s="46"/>
      <c r="BE398" s="46"/>
    </row>
    <row r="399" spans="1:57" x14ac:dyDescent="0.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c r="AA399" s="46"/>
      <c r="AB399" s="46"/>
      <c r="AC399" s="46"/>
      <c r="AD399" s="46"/>
      <c r="AE399" s="46"/>
      <c r="AF399" s="46"/>
      <c r="AG399" s="46"/>
      <c r="AH399" s="46"/>
      <c r="AI399" s="46"/>
      <c r="AJ399" s="46"/>
      <c r="AK399" s="50"/>
      <c r="AL399" s="47"/>
      <c r="AM399" s="46"/>
      <c r="AN399" s="46"/>
      <c r="AO399" s="46"/>
      <c r="AP399" s="46"/>
      <c r="AQ399" s="46"/>
      <c r="AR399" s="46"/>
      <c r="AS399" s="46"/>
      <c r="AT399" s="46"/>
      <c r="AU399" s="46"/>
      <c r="AV399" s="46"/>
      <c r="AW399" s="46"/>
      <c r="AX399" s="46"/>
      <c r="AY399" s="46"/>
      <c r="AZ399" s="46"/>
      <c r="BA399" s="46"/>
      <c r="BB399" s="46"/>
      <c r="BC399" s="46"/>
      <c r="BD399" s="46"/>
      <c r="BE399" s="46"/>
    </row>
    <row r="400" spans="1:57" x14ac:dyDescent="0.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c r="AA400" s="46"/>
      <c r="AB400" s="46"/>
      <c r="AC400" s="46"/>
      <c r="AD400" s="46"/>
      <c r="AE400" s="46"/>
      <c r="AF400" s="46"/>
      <c r="AG400" s="46"/>
      <c r="AH400" s="46"/>
      <c r="AI400" s="46"/>
      <c r="AJ400" s="46"/>
      <c r="AK400" s="50"/>
      <c r="AL400" s="47"/>
      <c r="AM400" s="46"/>
      <c r="AN400" s="46"/>
      <c r="AO400" s="46"/>
      <c r="AP400" s="46"/>
      <c r="AQ400" s="46"/>
      <c r="AR400" s="46"/>
      <c r="AS400" s="46"/>
      <c r="AT400" s="46"/>
      <c r="AU400" s="46"/>
      <c r="AV400" s="46"/>
      <c r="AW400" s="46"/>
      <c r="AX400" s="46"/>
      <c r="AY400" s="46"/>
      <c r="AZ400" s="46"/>
      <c r="BA400" s="46"/>
      <c r="BB400" s="46"/>
      <c r="BC400" s="46"/>
      <c r="BD400" s="46"/>
      <c r="BE400" s="46"/>
    </row>
    <row r="401" spans="1:57" x14ac:dyDescent="0.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c r="AA401" s="46"/>
      <c r="AB401" s="46"/>
      <c r="AC401" s="46"/>
      <c r="AD401" s="46"/>
      <c r="AE401" s="46"/>
      <c r="AF401" s="46"/>
      <c r="AG401" s="46"/>
      <c r="AH401" s="46"/>
      <c r="AI401" s="46"/>
      <c r="AJ401" s="46"/>
      <c r="AK401" s="50"/>
      <c r="AL401" s="47"/>
      <c r="AM401" s="46"/>
      <c r="AN401" s="46"/>
      <c r="AO401" s="46"/>
      <c r="AP401" s="46"/>
      <c r="AQ401" s="46"/>
      <c r="AR401" s="46"/>
      <c r="AS401" s="46"/>
      <c r="AT401" s="46"/>
      <c r="AU401" s="46"/>
      <c r="AV401" s="46"/>
      <c r="AW401" s="46"/>
      <c r="AX401" s="46"/>
      <c r="AY401" s="46"/>
      <c r="AZ401" s="46"/>
      <c r="BA401" s="46"/>
      <c r="BB401" s="46"/>
      <c r="BC401" s="46"/>
      <c r="BD401" s="46"/>
      <c r="BE401" s="46"/>
    </row>
    <row r="402" spans="1:57" x14ac:dyDescent="0.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c r="AA402" s="46"/>
      <c r="AB402" s="46"/>
      <c r="AC402" s="46"/>
      <c r="AD402" s="46"/>
      <c r="AE402" s="46"/>
      <c r="AF402" s="46"/>
      <c r="AG402" s="46"/>
      <c r="AH402" s="46"/>
      <c r="AI402" s="46"/>
      <c r="AJ402" s="46"/>
      <c r="AK402" s="50"/>
      <c r="AL402" s="47"/>
      <c r="AM402" s="46"/>
      <c r="AN402" s="46"/>
      <c r="AO402" s="46"/>
      <c r="AP402" s="46"/>
      <c r="AQ402" s="46"/>
      <c r="AR402" s="46"/>
      <c r="AS402" s="46"/>
      <c r="AT402" s="46"/>
      <c r="AU402" s="46"/>
      <c r="AV402" s="46"/>
      <c r="AW402" s="46"/>
      <c r="AX402" s="46"/>
      <c r="AY402" s="46"/>
      <c r="AZ402" s="46"/>
      <c r="BA402" s="46"/>
      <c r="BB402" s="46"/>
      <c r="BC402" s="46"/>
      <c r="BD402" s="46"/>
      <c r="BE402" s="46"/>
    </row>
    <row r="403" spans="1:57" x14ac:dyDescent="0.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c r="AA403" s="46"/>
      <c r="AB403" s="46"/>
      <c r="AC403" s="46"/>
      <c r="AD403" s="46"/>
      <c r="AE403" s="46"/>
      <c r="AF403" s="46"/>
      <c r="AG403" s="46"/>
      <c r="AH403" s="46"/>
      <c r="AI403" s="46"/>
      <c r="AJ403" s="46"/>
      <c r="AK403" s="50"/>
      <c r="AL403" s="47"/>
      <c r="AM403" s="46"/>
      <c r="AN403" s="46"/>
      <c r="AO403" s="46"/>
      <c r="AP403" s="46"/>
      <c r="AQ403" s="46"/>
      <c r="AR403" s="46"/>
      <c r="AS403" s="46"/>
      <c r="AT403" s="46"/>
      <c r="AU403" s="46"/>
      <c r="AV403" s="46"/>
      <c r="AW403" s="46"/>
      <c r="AX403" s="46"/>
      <c r="AY403" s="46"/>
      <c r="AZ403" s="46"/>
      <c r="BA403" s="46"/>
      <c r="BB403" s="46"/>
      <c r="BC403" s="46"/>
      <c r="BD403" s="46"/>
      <c r="BE403" s="46"/>
    </row>
    <row r="404" spans="1:57" x14ac:dyDescent="0.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c r="AA404" s="46"/>
      <c r="AB404" s="46"/>
      <c r="AC404" s="46"/>
      <c r="AD404" s="46"/>
      <c r="AE404" s="46"/>
      <c r="AF404" s="46"/>
      <c r="AG404" s="46"/>
      <c r="AH404" s="46"/>
      <c r="AI404" s="46"/>
      <c r="AJ404" s="46"/>
      <c r="AK404" s="50"/>
      <c r="AL404" s="47"/>
      <c r="AM404" s="46"/>
      <c r="AN404" s="46"/>
      <c r="AO404" s="46"/>
      <c r="AP404" s="46"/>
      <c r="AQ404" s="46"/>
      <c r="AR404" s="46"/>
      <c r="AS404" s="46"/>
      <c r="AT404" s="46"/>
      <c r="AU404" s="46"/>
      <c r="AV404" s="46"/>
      <c r="AW404" s="46"/>
      <c r="AX404" s="46"/>
      <c r="AY404" s="46"/>
      <c r="AZ404" s="46"/>
      <c r="BA404" s="46"/>
      <c r="BB404" s="46"/>
      <c r="BC404" s="46"/>
      <c r="BD404" s="46"/>
      <c r="BE404" s="46"/>
    </row>
    <row r="405" spans="1:57" x14ac:dyDescent="0.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c r="AA405" s="46"/>
      <c r="AB405" s="46"/>
      <c r="AC405" s="46"/>
      <c r="AD405" s="46"/>
      <c r="AE405" s="46"/>
      <c r="AF405" s="46"/>
      <c r="AG405" s="46"/>
      <c r="AH405" s="46"/>
      <c r="AI405" s="46"/>
      <c r="AJ405" s="46"/>
      <c r="AK405" s="50"/>
      <c r="AL405" s="47"/>
      <c r="AM405" s="46"/>
      <c r="AN405" s="46"/>
      <c r="AO405" s="46"/>
      <c r="AP405" s="46"/>
      <c r="AQ405" s="46"/>
      <c r="AR405" s="46"/>
      <c r="AS405" s="46"/>
      <c r="AT405" s="46"/>
      <c r="AU405" s="46"/>
      <c r="AV405" s="46"/>
      <c r="AW405" s="46"/>
      <c r="AX405" s="46"/>
      <c r="AY405" s="46"/>
      <c r="AZ405" s="46"/>
      <c r="BA405" s="46"/>
      <c r="BB405" s="46"/>
      <c r="BC405" s="46"/>
      <c r="BD405" s="46"/>
      <c r="BE405" s="46"/>
    </row>
    <row r="406" spans="1:57" x14ac:dyDescent="0.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c r="AA406" s="46"/>
      <c r="AB406" s="46"/>
      <c r="AC406" s="46"/>
      <c r="AD406" s="46"/>
      <c r="AE406" s="46"/>
      <c r="AF406" s="46"/>
      <c r="AG406" s="46"/>
      <c r="AH406" s="46"/>
      <c r="AI406" s="46"/>
      <c r="AJ406" s="46"/>
      <c r="AK406" s="50"/>
      <c r="AL406" s="47"/>
      <c r="AM406" s="46"/>
      <c r="AN406" s="46"/>
      <c r="AO406" s="46"/>
      <c r="AP406" s="46"/>
      <c r="AQ406" s="46"/>
      <c r="AR406" s="46"/>
      <c r="AS406" s="46"/>
      <c r="AT406" s="46"/>
      <c r="AU406" s="46"/>
      <c r="AV406" s="46"/>
      <c r="AW406" s="46"/>
      <c r="AX406" s="46"/>
      <c r="AY406" s="46"/>
      <c r="AZ406" s="46"/>
      <c r="BA406" s="46"/>
      <c r="BB406" s="46"/>
      <c r="BC406" s="46"/>
      <c r="BD406" s="46"/>
      <c r="BE406" s="46"/>
    </row>
    <row r="407" spans="1:57" x14ac:dyDescent="0.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c r="AA407" s="46"/>
      <c r="AB407" s="46"/>
      <c r="AC407" s="46"/>
      <c r="AD407" s="46"/>
      <c r="AE407" s="46"/>
      <c r="AF407" s="46"/>
      <c r="AG407" s="46"/>
      <c r="AH407" s="46"/>
      <c r="AI407" s="46"/>
      <c r="AJ407" s="46"/>
      <c r="AK407" s="50"/>
      <c r="AL407" s="47"/>
      <c r="AM407" s="46"/>
      <c r="AN407" s="46"/>
      <c r="AO407" s="46"/>
      <c r="AP407" s="46"/>
      <c r="AQ407" s="46"/>
      <c r="AR407" s="46"/>
      <c r="AS407" s="46"/>
      <c r="AT407" s="46"/>
      <c r="AU407" s="46"/>
      <c r="AV407" s="46"/>
      <c r="AW407" s="46"/>
      <c r="AX407" s="46"/>
      <c r="AY407" s="46"/>
      <c r="AZ407" s="46"/>
      <c r="BA407" s="46"/>
      <c r="BB407" s="46"/>
      <c r="BC407" s="46"/>
      <c r="BD407" s="46"/>
      <c r="BE407" s="46"/>
    </row>
    <row r="408" spans="1:57" x14ac:dyDescent="0.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c r="AA408" s="46"/>
      <c r="AB408" s="46"/>
      <c r="AC408" s="46"/>
      <c r="AD408" s="46"/>
      <c r="AE408" s="46"/>
      <c r="AF408" s="46"/>
      <c r="AG408" s="46"/>
      <c r="AH408" s="46"/>
      <c r="AI408" s="46"/>
      <c r="AJ408" s="46"/>
      <c r="AK408" s="50"/>
      <c r="AL408" s="47"/>
      <c r="AM408" s="46"/>
      <c r="AN408" s="46"/>
      <c r="AO408" s="46"/>
      <c r="AP408" s="46"/>
      <c r="AQ408" s="46"/>
      <c r="AR408" s="46"/>
      <c r="AS408" s="46"/>
      <c r="AT408" s="46"/>
      <c r="AU408" s="46"/>
      <c r="AV408" s="46"/>
      <c r="AW408" s="46"/>
      <c r="AX408" s="46"/>
      <c r="AY408" s="46"/>
      <c r="AZ408" s="46"/>
      <c r="BA408" s="46"/>
      <c r="BB408" s="46"/>
      <c r="BC408" s="46"/>
      <c r="BD408" s="46"/>
      <c r="BE408" s="46"/>
    </row>
    <row r="409" spans="1:57" x14ac:dyDescent="0.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c r="AA409" s="46"/>
      <c r="AB409" s="46"/>
      <c r="AC409" s="46"/>
      <c r="AD409" s="46"/>
      <c r="AE409" s="46"/>
      <c r="AF409" s="46"/>
      <c r="AG409" s="46"/>
      <c r="AH409" s="46"/>
      <c r="AI409" s="46"/>
      <c r="AJ409" s="46"/>
      <c r="AK409" s="50"/>
      <c r="AL409" s="47"/>
      <c r="AM409" s="46"/>
      <c r="AN409" s="46"/>
      <c r="AO409" s="46"/>
      <c r="AP409" s="46"/>
      <c r="AQ409" s="46"/>
      <c r="AR409" s="46"/>
      <c r="AS409" s="46"/>
      <c r="AT409" s="46"/>
      <c r="AU409" s="46"/>
      <c r="AV409" s="46"/>
      <c r="AW409" s="46"/>
      <c r="AX409" s="46"/>
      <c r="AY409" s="46"/>
      <c r="AZ409" s="46"/>
      <c r="BA409" s="46"/>
      <c r="BB409" s="46"/>
      <c r="BC409" s="46"/>
      <c r="BD409" s="46"/>
      <c r="BE409" s="46"/>
    </row>
    <row r="410" spans="1:57" x14ac:dyDescent="0.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50"/>
      <c r="AL410" s="47"/>
      <c r="AM410" s="46"/>
      <c r="AN410" s="46"/>
      <c r="AO410" s="46"/>
      <c r="AP410" s="46"/>
      <c r="AQ410" s="46"/>
      <c r="AR410" s="46"/>
      <c r="AS410" s="46"/>
      <c r="AT410" s="46"/>
      <c r="AU410" s="46"/>
      <c r="AV410" s="46"/>
      <c r="AW410" s="46"/>
      <c r="AX410" s="46"/>
      <c r="AY410" s="46"/>
      <c r="AZ410" s="46"/>
      <c r="BA410" s="46"/>
      <c r="BB410" s="46"/>
      <c r="BC410" s="46"/>
      <c r="BD410" s="46"/>
      <c r="BE410" s="46"/>
    </row>
    <row r="411" spans="1:57" x14ac:dyDescent="0.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c r="AA411" s="46"/>
      <c r="AB411" s="46"/>
      <c r="AC411" s="46"/>
      <c r="AD411" s="46"/>
      <c r="AE411" s="46"/>
      <c r="AF411" s="46"/>
      <c r="AG411" s="46"/>
      <c r="AH411" s="46"/>
      <c r="AI411" s="46"/>
      <c r="AJ411" s="46"/>
      <c r="AK411" s="50"/>
      <c r="AL411" s="47"/>
      <c r="AM411" s="46"/>
      <c r="AN411" s="46"/>
      <c r="AO411" s="46"/>
      <c r="AP411" s="46"/>
      <c r="AQ411" s="46"/>
      <c r="AR411" s="46"/>
      <c r="AS411" s="46"/>
      <c r="AT411" s="46"/>
      <c r="AU411" s="46"/>
      <c r="AV411" s="46"/>
      <c r="AW411" s="46"/>
      <c r="AX411" s="46"/>
      <c r="AY411" s="46"/>
      <c r="AZ411" s="46"/>
      <c r="BA411" s="46"/>
      <c r="BB411" s="46"/>
      <c r="BC411" s="46"/>
      <c r="BD411" s="46"/>
      <c r="BE411" s="46"/>
    </row>
    <row r="412" spans="1:57" x14ac:dyDescent="0.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c r="AA412" s="46"/>
      <c r="AB412" s="46"/>
      <c r="AC412" s="46"/>
      <c r="AD412" s="46"/>
      <c r="AE412" s="46"/>
      <c r="AF412" s="46"/>
      <c r="AG412" s="46"/>
      <c r="AH412" s="46"/>
      <c r="AI412" s="46"/>
      <c r="AJ412" s="46"/>
      <c r="AK412" s="50"/>
      <c r="AL412" s="47"/>
      <c r="AM412" s="46"/>
      <c r="AN412" s="46"/>
      <c r="AO412" s="46"/>
      <c r="AP412" s="46"/>
      <c r="AQ412" s="46"/>
      <c r="AR412" s="46"/>
      <c r="AS412" s="46"/>
      <c r="AT412" s="46"/>
      <c r="AU412" s="46"/>
      <c r="AV412" s="46"/>
      <c r="AW412" s="46"/>
      <c r="AX412" s="46"/>
      <c r="AY412" s="46"/>
      <c r="AZ412" s="46"/>
      <c r="BA412" s="46"/>
      <c r="BB412" s="46"/>
      <c r="BC412" s="46"/>
      <c r="BD412" s="46"/>
      <c r="BE412" s="46"/>
    </row>
    <row r="413" spans="1:57" x14ac:dyDescent="0.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50"/>
      <c r="AL413" s="47"/>
      <c r="AM413" s="46"/>
      <c r="AN413" s="46"/>
      <c r="AO413" s="46"/>
      <c r="AP413" s="46"/>
      <c r="AQ413" s="46"/>
      <c r="AR413" s="46"/>
      <c r="AS413" s="46"/>
      <c r="AT413" s="46"/>
      <c r="AU413" s="46"/>
      <c r="AV413" s="46"/>
      <c r="AW413" s="46"/>
      <c r="AX413" s="46"/>
      <c r="AY413" s="46"/>
      <c r="AZ413" s="46"/>
      <c r="BA413" s="46"/>
      <c r="BB413" s="46"/>
      <c r="BC413" s="46"/>
      <c r="BD413" s="46"/>
      <c r="BE413" s="46"/>
    </row>
    <row r="414" spans="1:57" x14ac:dyDescent="0.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50"/>
      <c r="AL414" s="47"/>
      <c r="AM414" s="46"/>
      <c r="AN414" s="46"/>
      <c r="AO414" s="46"/>
      <c r="AP414" s="46"/>
      <c r="AQ414" s="46"/>
      <c r="AR414" s="46"/>
      <c r="AS414" s="46"/>
      <c r="AT414" s="46"/>
      <c r="AU414" s="46"/>
      <c r="AV414" s="46"/>
      <c r="AW414" s="46"/>
      <c r="AX414" s="46"/>
      <c r="AY414" s="46"/>
      <c r="AZ414" s="46"/>
      <c r="BA414" s="46"/>
      <c r="BB414" s="46"/>
      <c r="BC414" s="46"/>
      <c r="BD414" s="46"/>
      <c r="BE414" s="46"/>
    </row>
    <row r="415" spans="1:57" x14ac:dyDescent="0.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c r="AA415" s="46"/>
      <c r="AB415" s="46"/>
      <c r="AC415" s="46"/>
      <c r="AD415" s="46"/>
      <c r="AE415" s="46"/>
      <c r="AF415" s="46"/>
      <c r="AG415" s="46"/>
      <c r="AH415" s="46"/>
      <c r="AI415" s="46"/>
      <c r="AJ415" s="46"/>
      <c r="AK415" s="50"/>
      <c r="AL415" s="47"/>
      <c r="AM415" s="46"/>
      <c r="AN415" s="46"/>
      <c r="AO415" s="46"/>
      <c r="AP415" s="46"/>
      <c r="AQ415" s="46"/>
      <c r="AR415" s="46"/>
      <c r="AS415" s="46"/>
      <c r="AT415" s="46"/>
      <c r="AU415" s="46"/>
      <c r="AV415" s="46"/>
      <c r="AW415" s="46"/>
      <c r="AX415" s="46"/>
      <c r="AY415" s="46"/>
      <c r="AZ415" s="46"/>
      <c r="BA415" s="46"/>
      <c r="BB415" s="46"/>
      <c r="BC415" s="46"/>
      <c r="BD415" s="46"/>
      <c r="BE415" s="46"/>
    </row>
    <row r="416" spans="1:57" x14ac:dyDescent="0.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c r="AA416" s="46"/>
      <c r="AB416" s="46"/>
      <c r="AC416" s="46"/>
      <c r="AD416" s="46"/>
      <c r="AE416" s="46"/>
      <c r="AF416" s="46"/>
      <c r="AG416" s="46"/>
      <c r="AH416" s="46"/>
      <c r="AI416" s="46"/>
      <c r="AJ416" s="46"/>
      <c r="AK416" s="50"/>
      <c r="AL416" s="47"/>
      <c r="AM416" s="46"/>
      <c r="AN416" s="46"/>
      <c r="AO416" s="46"/>
      <c r="AP416" s="46"/>
      <c r="AQ416" s="46"/>
      <c r="AR416" s="46"/>
      <c r="AS416" s="46"/>
      <c r="AT416" s="46"/>
      <c r="AU416" s="46"/>
      <c r="AV416" s="46"/>
      <c r="AW416" s="46"/>
      <c r="AX416" s="46"/>
      <c r="AY416" s="46"/>
      <c r="AZ416" s="46"/>
      <c r="BA416" s="46"/>
      <c r="BB416" s="46"/>
      <c r="BC416" s="46"/>
      <c r="BD416" s="46"/>
      <c r="BE416" s="46"/>
    </row>
    <row r="417" spans="1:57" x14ac:dyDescent="0.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6"/>
      <c r="AH417" s="46"/>
      <c r="AI417" s="46"/>
      <c r="AJ417" s="46"/>
      <c r="AK417" s="50"/>
      <c r="AL417" s="47"/>
      <c r="AM417" s="46"/>
      <c r="AN417" s="46"/>
      <c r="AO417" s="46"/>
      <c r="AP417" s="46"/>
      <c r="AQ417" s="46"/>
      <c r="AR417" s="46"/>
      <c r="AS417" s="46"/>
      <c r="AT417" s="46"/>
      <c r="AU417" s="46"/>
      <c r="AV417" s="46"/>
      <c r="AW417" s="46"/>
      <c r="AX417" s="46"/>
      <c r="AY417" s="46"/>
      <c r="AZ417" s="46"/>
      <c r="BA417" s="46"/>
      <c r="BB417" s="46"/>
      <c r="BC417" s="46"/>
      <c r="BD417" s="46"/>
      <c r="BE417" s="46"/>
    </row>
    <row r="418" spans="1:57" x14ac:dyDescent="0.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6"/>
      <c r="AH418" s="46"/>
      <c r="AI418" s="46"/>
      <c r="AJ418" s="46"/>
      <c r="AK418" s="50"/>
      <c r="AL418" s="47"/>
      <c r="AM418" s="46"/>
      <c r="AN418" s="46"/>
      <c r="AO418" s="46"/>
      <c r="AP418" s="46"/>
      <c r="AQ418" s="46"/>
      <c r="AR418" s="46"/>
      <c r="AS418" s="46"/>
      <c r="AT418" s="46"/>
      <c r="AU418" s="46"/>
      <c r="AV418" s="46"/>
      <c r="AW418" s="46"/>
      <c r="AX418" s="46"/>
      <c r="AY418" s="46"/>
      <c r="AZ418" s="46"/>
      <c r="BA418" s="46"/>
      <c r="BB418" s="46"/>
      <c r="BC418" s="46"/>
      <c r="BD418" s="46"/>
      <c r="BE418" s="46"/>
    </row>
    <row r="419" spans="1:57" x14ac:dyDescent="0.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c r="AA419" s="46"/>
      <c r="AB419" s="46"/>
      <c r="AC419" s="46"/>
      <c r="AD419" s="46"/>
      <c r="AE419" s="46"/>
      <c r="AF419" s="46"/>
      <c r="AG419" s="46"/>
      <c r="AH419" s="46"/>
      <c r="AI419" s="46"/>
      <c r="AJ419" s="46"/>
      <c r="AK419" s="50"/>
      <c r="AL419" s="47"/>
      <c r="AM419" s="46"/>
      <c r="AN419" s="46"/>
      <c r="AO419" s="46"/>
      <c r="AP419" s="46"/>
      <c r="AQ419" s="46"/>
      <c r="AR419" s="46"/>
      <c r="AS419" s="46"/>
      <c r="AT419" s="46"/>
      <c r="AU419" s="46"/>
      <c r="AV419" s="46"/>
      <c r="AW419" s="46"/>
      <c r="AX419" s="46"/>
      <c r="AY419" s="46"/>
      <c r="AZ419" s="46"/>
      <c r="BA419" s="46"/>
      <c r="BB419" s="46"/>
      <c r="BC419" s="46"/>
      <c r="BD419" s="46"/>
      <c r="BE419" s="46"/>
    </row>
    <row r="420" spans="1:57" x14ac:dyDescent="0.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c r="AA420" s="46"/>
      <c r="AB420" s="46"/>
      <c r="AC420" s="46"/>
      <c r="AD420" s="46"/>
      <c r="AE420" s="46"/>
      <c r="AF420" s="46"/>
      <c r="AG420" s="46"/>
      <c r="AH420" s="46"/>
      <c r="AI420" s="46"/>
      <c r="AJ420" s="46"/>
      <c r="AK420" s="50"/>
      <c r="AL420" s="47"/>
      <c r="AM420" s="46"/>
      <c r="AN420" s="46"/>
      <c r="AO420" s="46"/>
      <c r="AP420" s="46"/>
      <c r="AQ420" s="46"/>
      <c r="AR420" s="46"/>
      <c r="AS420" s="46"/>
      <c r="AT420" s="46"/>
      <c r="AU420" s="46"/>
      <c r="AV420" s="46"/>
      <c r="AW420" s="46"/>
      <c r="AX420" s="46"/>
      <c r="AY420" s="46"/>
      <c r="AZ420" s="46"/>
      <c r="BA420" s="46"/>
      <c r="BB420" s="46"/>
      <c r="BC420" s="46"/>
      <c r="BD420" s="46"/>
      <c r="BE420" s="46"/>
    </row>
    <row r="421" spans="1:57" x14ac:dyDescent="0.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c r="AA421" s="46"/>
      <c r="AB421" s="46"/>
      <c r="AC421" s="46"/>
      <c r="AD421" s="46"/>
      <c r="AE421" s="46"/>
      <c r="AF421" s="46"/>
      <c r="AG421" s="46"/>
      <c r="AH421" s="46"/>
      <c r="AI421" s="46"/>
      <c r="AJ421" s="46"/>
      <c r="AK421" s="50"/>
      <c r="AL421" s="47"/>
      <c r="AM421" s="46"/>
      <c r="AN421" s="46"/>
      <c r="AO421" s="46"/>
      <c r="AP421" s="46"/>
      <c r="AQ421" s="46"/>
      <c r="AR421" s="46"/>
      <c r="AS421" s="46"/>
      <c r="AT421" s="46"/>
      <c r="AU421" s="46"/>
      <c r="AV421" s="46"/>
      <c r="AW421" s="46"/>
      <c r="AX421" s="46"/>
      <c r="AY421" s="46"/>
      <c r="AZ421" s="46"/>
      <c r="BA421" s="46"/>
      <c r="BB421" s="46"/>
      <c r="BC421" s="46"/>
      <c r="BD421" s="46"/>
      <c r="BE421" s="46"/>
    </row>
    <row r="422" spans="1:57" x14ac:dyDescent="0.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c r="AA422" s="46"/>
      <c r="AB422" s="46"/>
      <c r="AC422" s="46"/>
      <c r="AD422" s="46"/>
      <c r="AE422" s="46"/>
      <c r="AF422" s="46"/>
      <c r="AG422" s="46"/>
      <c r="AH422" s="46"/>
      <c r="AI422" s="46"/>
      <c r="AJ422" s="46"/>
      <c r="AK422" s="50"/>
      <c r="AL422" s="47"/>
      <c r="AM422" s="46"/>
      <c r="AN422" s="46"/>
      <c r="AO422" s="46"/>
      <c r="AP422" s="46"/>
      <c r="AQ422" s="46"/>
      <c r="AR422" s="46"/>
      <c r="AS422" s="46"/>
      <c r="AT422" s="46"/>
      <c r="AU422" s="46"/>
      <c r="AV422" s="46"/>
      <c r="AW422" s="46"/>
      <c r="AX422" s="46"/>
      <c r="AY422" s="46"/>
      <c r="AZ422" s="46"/>
      <c r="BA422" s="46"/>
      <c r="BB422" s="46"/>
      <c r="BC422" s="46"/>
      <c r="BD422" s="46"/>
      <c r="BE422" s="46"/>
    </row>
    <row r="423" spans="1:57" x14ac:dyDescent="0.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c r="AA423" s="46"/>
      <c r="AB423" s="46"/>
      <c r="AC423" s="46"/>
      <c r="AD423" s="46"/>
      <c r="AE423" s="46"/>
      <c r="AF423" s="46"/>
      <c r="AG423" s="46"/>
      <c r="AH423" s="46"/>
      <c r="AI423" s="46"/>
      <c r="AJ423" s="46"/>
      <c r="AK423" s="50"/>
      <c r="AL423" s="47"/>
      <c r="AM423" s="46"/>
      <c r="AN423" s="46"/>
      <c r="AO423" s="46"/>
      <c r="AP423" s="46"/>
      <c r="AQ423" s="46"/>
      <c r="AR423" s="46"/>
      <c r="AS423" s="46"/>
      <c r="AT423" s="46"/>
      <c r="AU423" s="46"/>
      <c r="AV423" s="46"/>
      <c r="AW423" s="46"/>
      <c r="AX423" s="46"/>
      <c r="AY423" s="46"/>
      <c r="AZ423" s="46"/>
      <c r="BA423" s="46"/>
      <c r="BB423" s="46"/>
      <c r="BC423" s="46"/>
      <c r="BD423" s="46"/>
      <c r="BE423" s="46"/>
    </row>
    <row r="424" spans="1:57" x14ac:dyDescent="0.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c r="AA424" s="46"/>
      <c r="AB424" s="46"/>
      <c r="AC424" s="46"/>
      <c r="AD424" s="46"/>
      <c r="AE424" s="46"/>
      <c r="AF424" s="46"/>
      <c r="AG424" s="46"/>
      <c r="AH424" s="46"/>
      <c r="AI424" s="46"/>
      <c r="AJ424" s="46"/>
      <c r="AK424" s="50"/>
      <c r="AL424" s="47"/>
      <c r="AM424" s="46"/>
      <c r="AN424" s="46"/>
      <c r="AO424" s="46"/>
      <c r="AP424" s="46"/>
      <c r="AQ424" s="46"/>
      <c r="AR424" s="46"/>
      <c r="AS424" s="46"/>
      <c r="AT424" s="46"/>
      <c r="AU424" s="46"/>
      <c r="AV424" s="46"/>
      <c r="AW424" s="46"/>
      <c r="AX424" s="46"/>
      <c r="AY424" s="46"/>
      <c r="AZ424" s="46"/>
      <c r="BA424" s="46"/>
      <c r="BB424" s="46"/>
      <c r="BC424" s="46"/>
      <c r="BD424" s="46"/>
      <c r="BE424" s="46"/>
    </row>
    <row r="425" spans="1:57" x14ac:dyDescent="0.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c r="AA425" s="46"/>
      <c r="AB425" s="46"/>
      <c r="AC425" s="46"/>
      <c r="AD425" s="46"/>
      <c r="AE425" s="46"/>
      <c r="AF425" s="46"/>
      <c r="AG425" s="46"/>
      <c r="AH425" s="46"/>
      <c r="AI425" s="46"/>
      <c r="AJ425" s="46"/>
      <c r="AK425" s="50"/>
      <c r="AL425" s="47"/>
      <c r="AM425" s="46"/>
      <c r="AN425" s="46"/>
      <c r="AO425" s="46"/>
      <c r="AP425" s="46"/>
      <c r="AQ425" s="46"/>
      <c r="AR425" s="46"/>
      <c r="AS425" s="46"/>
      <c r="AT425" s="46"/>
      <c r="AU425" s="46"/>
      <c r="AV425" s="46"/>
      <c r="AW425" s="46"/>
      <c r="AX425" s="46"/>
      <c r="AY425" s="46"/>
      <c r="AZ425" s="46"/>
      <c r="BA425" s="46"/>
      <c r="BB425" s="46"/>
      <c r="BC425" s="46"/>
      <c r="BD425" s="46"/>
      <c r="BE425" s="46"/>
    </row>
    <row r="426" spans="1:57" x14ac:dyDescent="0.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c r="AA426" s="46"/>
      <c r="AB426" s="46"/>
      <c r="AC426" s="46"/>
      <c r="AD426" s="46"/>
      <c r="AE426" s="46"/>
      <c r="AF426" s="46"/>
      <c r="AG426" s="46"/>
      <c r="AH426" s="46"/>
      <c r="AI426" s="46"/>
      <c r="AJ426" s="46"/>
      <c r="AK426" s="50"/>
      <c r="AL426" s="47"/>
      <c r="AM426" s="46"/>
      <c r="AN426" s="46"/>
      <c r="AO426" s="46"/>
      <c r="AP426" s="46"/>
      <c r="AQ426" s="46"/>
      <c r="AR426" s="46"/>
      <c r="AS426" s="46"/>
      <c r="AT426" s="46"/>
      <c r="AU426" s="46"/>
      <c r="AV426" s="46"/>
      <c r="AW426" s="46"/>
      <c r="AX426" s="46"/>
      <c r="AY426" s="46"/>
      <c r="AZ426" s="46"/>
      <c r="BA426" s="46"/>
      <c r="BB426" s="46"/>
      <c r="BC426" s="46"/>
      <c r="BD426" s="46"/>
      <c r="BE426" s="46"/>
    </row>
    <row r="427" spans="1:57" x14ac:dyDescent="0.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c r="AA427" s="46"/>
      <c r="AB427" s="46"/>
      <c r="AC427" s="46"/>
      <c r="AD427" s="46"/>
      <c r="AE427" s="46"/>
      <c r="AF427" s="46"/>
      <c r="AG427" s="46"/>
      <c r="AH427" s="46"/>
      <c r="AI427" s="46"/>
      <c r="AJ427" s="46"/>
      <c r="AK427" s="50"/>
      <c r="AL427" s="47"/>
      <c r="AM427" s="46"/>
      <c r="AN427" s="46"/>
      <c r="AO427" s="46"/>
      <c r="AP427" s="46"/>
      <c r="AQ427" s="46"/>
      <c r="AR427" s="46"/>
      <c r="AS427" s="46"/>
      <c r="AT427" s="46"/>
      <c r="AU427" s="46"/>
      <c r="AV427" s="46"/>
      <c r="AW427" s="46"/>
      <c r="AX427" s="46"/>
      <c r="AY427" s="46"/>
      <c r="AZ427" s="46"/>
      <c r="BA427" s="46"/>
      <c r="BB427" s="46"/>
      <c r="BC427" s="46"/>
      <c r="BD427" s="46"/>
      <c r="BE427" s="46"/>
    </row>
    <row r="428" spans="1:57" x14ac:dyDescent="0.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c r="AA428" s="46"/>
      <c r="AB428" s="46"/>
      <c r="AC428" s="46"/>
      <c r="AD428" s="46"/>
      <c r="AE428" s="46"/>
      <c r="AF428" s="46"/>
      <c r="AG428" s="46"/>
      <c r="AH428" s="46"/>
      <c r="AI428" s="46"/>
      <c r="AJ428" s="46"/>
      <c r="AK428" s="50"/>
      <c r="AL428" s="47"/>
      <c r="AM428" s="46"/>
      <c r="AN428" s="46"/>
      <c r="AO428" s="46"/>
      <c r="AP428" s="46"/>
      <c r="AQ428" s="46"/>
      <c r="AR428" s="46"/>
      <c r="AS428" s="46"/>
      <c r="AT428" s="46"/>
      <c r="AU428" s="46"/>
      <c r="AV428" s="46"/>
      <c r="AW428" s="46"/>
      <c r="AX428" s="46"/>
      <c r="AY428" s="46"/>
      <c r="AZ428" s="46"/>
      <c r="BA428" s="46"/>
      <c r="BB428" s="46"/>
      <c r="BC428" s="46"/>
      <c r="BD428" s="46"/>
      <c r="BE428" s="46"/>
    </row>
    <row r="429" spans="1:57" x14ac:dyDescent="0.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c r="AA429" s="46"/>
      <c r="AB429" s="46"/>
      <c r="AC429" s="46"/>
      <c r="AD429" s="46"/>
      <c r="AE429" s="46"/>
      <c r="AF429" s="46"/>
      <c r="AG429" s="46"/>
      <c r="AH429" s="46"/>
      <c r="AI429" s="46"/>
      <c r="AJ429" s="46"/>
      <c r="AK429" s="50"/>
      <c r="AL429" s="47"/>
      <c r="AM429" s="46"/>
      <c r="AN429" s="46"/>
      <c r="AO429" s="46"/>
      <c r="AP429" s="46"/>
      <c r="AQ429" s="46"/>
      <c r="AR429" s="46"/>
      <c r="AS429" s="46"/>
      <c r="AT429" s="46"/>
      <c r="AU429" s="46"/>
      <c r="AV429" s="46"/>
      <c r="AW429" s="46"/>
      <c r="AX429" s="46"/>
      <c r="AY429" s="46"/>
      <c r="AZ429" s="46"/>
      <c r="BA429" s="46"/>
      <c r="BB429" s="46"/>
      <c r="BC429" s="46"/>
      <c r="BD429" s="46"/>
      <c r="BE429" s="46"/>
    </row>
    <row r="430" spans="1:57" x14ac:dyDescent="0.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c r="AA430" s="46"/>
      <c r="AB430" s="46"/>
      <c r="AC430" s="46"/>
      <c r="AD430" s="46"/>
      <c r="AE430" s="46"/>
      <c r="AF430" s="46"/>
      <c r="AG430" s="46"/>
      <c r="AH430" s="46"/>
      <c r="AI430" s="46"/>
      <c r="AJ430" s="46"/>
      <c r="AK430" s="50"/>
      <c r="AL430" s="47"/>
      <c r="AM430" s="46"/>
      <c r="AN430" s="46"/>
      <c r="AO430" s="46"/>
      <c r="AP430" s="46"/>
      <c r="AQ430" s="46"/>
      <c r="AR430" s="46"/>
      <c r="AS430" s="46"/>
      <c r="AT430" s="46"/>
      <c r="AU430" s="46"/>
      <c r="AV430" s="46"/>
      <c r="AW430" s="46"/>
      <c r="AX430" s="46"/>
      <c r="AY430" s="46"/>
      <c r="AZ430" s="46"/>
      <c r="BA430" s="46"/>
      <c r="BB430" s="46"/>
      <c r="BC430" s="46"/>
      <c r="BD430" s="46"/>
      <c r="BE430" s="46"/>
    </row>
    <row r="431" spans="1:57" x14ac:dyDescent="0.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c r="AA431" s="46"/>
      <c r="AB431" s="46"/>
      <c r="AC431" s="46"/>
      <c r="AD431" s="46"/>
      <c r="AE431" s="46"/>
      <c r="AF431" s="46"/>
      <c r="AG431" s="46"/>
      <c r="AH431" s="46"/>
      <c r="AI431" s="46"/>
      <c r="AJ431" s="46"/>
      <c r="AK431" s="50"/>
      <c r="AL431" s="47"/>
      <c r="AM431" s="46"/>
      <c r="AN431" s="46"/>
      <c r="AO431" s="46"/>
      <c r="AP431" s="46"/>
      <c r="AQ431" s="46"/>
      <c r="AR431" s="46"/>
      <c r="AS431" s="46"/>
      <c r="AT431" s="46"/>
      <c r="AU431" s="46"/>
      <c r="AV431" s="46"/>
      <c r="AW431" s="46"/>
      <c r="AX431" s="46"/>
      <c r="AY431" s="46"/>
      <c r="AZ431" s="46"/>
      <c r="BA431" s="46"/>
      <c r="BB431" s="46"/>
      <c r="BC431" s="46"/>
      <c r="BD431" s="46"/>
      <c r="BE431" s="46"/>
    </row>
    <row r="432" spans="1:57" x14ac:dyDescent="0.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50"/>
      <c r="AL432" s="47"/>
      <c r="AM432" s="46"/>
      <c r="AN432" s="46"/>
      <c r="AO432" s="46"/>
      <c r="AP432" s="46"/>
      <c r="AQ432" s="46"/>
      <c r="AR432" s="46"/>
      <c r="AS432" s="46"/>
      <c r="AT432" s="46"/>
      <c r="AU432" s="46"/>
      <c r="AV432" s="46"/>
      <c r="AW432" s="46"/>
      <c r="AX432" s="46"/>
      <c r="AY432" s="46"/>
      <c r="AZ432" s="46"/>
      <c r="BA432" s="46"/>
      <c r="BB432" s="46"/>
      <c r="BC432" s="46"/>
      <c r="BD432" s="46"/>
      <c r="BE432" s="46"/>
    </row>
    <row r="433" spans="1:57" x14ac:dyDescent="0.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c r="AA433" s="46"/>
      <c r="AB433" s="46"/>
      <c r="AC433" s="46"/>
      <c r="AD433" s="46"/>
      <c r="AE433" s="46"/>
      <c r="AF433" s="46"/>
      <c r="AG433" s="46"/>
      <c r="AH433" s="46"/>
      <c r="AI433" s="46"/>
      <c r="AJ433" s="46"/>
      <c r="AK433" s="50"/>
      <c r="AL433" s="47"/>
      <c r="AM433" s="46"/>
      <c r="AN433" s="46"/>
      <c r="AO433" s="46"/>
      <c r="AP433" s="46"/>
      <c r="AQ433" s="46"/>
      <c r="AR433" s="46"/>
      <c r="AS433" s="46"/>
      <c r="AT433" s="46"/>
      <c r="AU433" s="46"/>
      <c r="AV433" s="46"/>
      <c r="AW433" s="46"/>
      <c r="AX433" s="46"/>
      <c r="AY433" s="46"/>
      <c r="AZ433" s="46"/>
      <c r="BA433" s="46"/>
      <c r="BB433" s="46"/>
      <c r="BC433" s="46"/>
      <c r="BD433" s="46"/>
      <c r="BE433" s="46"/>
    </row>
    <row r="434" spans="1:57" x14ac:dyDescent="0.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c r="AA434" s="46"/>
      <c r="AB434" s="46"/>
      <c r="AC434" s="46"/>
      <c r="AD434" s="46"/>
      <c r="AE434" s="46"/>
      <c r="AF434" s="46"/>
      <c r="AG434" s="46"/>
      <c r="AH434" s="46"/>
      <c r="AI434" s="46"/>
      <c r="AJ434" s="46"/>
      <c r="AK434" s="50"/>
      <c r="AL434" s="47"/>
      <c r="AM434" s="46"/>
      <c r="AN434" s="46"/>
      <c r="AO434" s="46"/>
      <c r="AP434" s="46"/>
      <c r="AQ434" s="46"/>
      <c r="AR434" s="46"/>
      <c r="AS434" s="46"/>
      <c r="AT434" s="46"/>
      <c r="AU434" s="46"/>
      <c r="AV434" s="46"/>
      <c r="AW434" s="46"/>
      <c r="AX434" s="46"/>
      <c r="AY434" s="46"/>
      <c r="AZ434" s="46"/>
      <c r="BA434" s="46"/>
      <c r="BB434" s="46"/>
      <c r="BC434" s="46"/>
      <c r="BD434" s="46"/>
      <c r="BE434" s="46"/>
    </row>
    <row r="435" spans="1:57" x14ac:dyDescent="0.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c r="AA435" s="46"/>
      <c r="AB435" s="46"/>
      <c r="AC435" s="46"/>
      <c r="AD435" s="46"/>
      <c r="AE435" s="46"/>
      <c r="AF435" s="46"/>
      <c r="AG435" s="46"/>
      <c r="AH435" s="46"/>
      <c r="AI435" s="46"/>
      <c r="AJ435" s="46"/>
      <c r="AK435" s="50"/>
      <c r="AL435" s="47"/>
      <c r="AM435" s="46"/>
      <c r="AN435" s="46"/>
      <c r="AO435" s="46"/>
      <c r="AP435" s="46"/>
      <c r="AQ435" s="46"/>
      <c r="AR435" s="46"/>
      <c r="AS435" s="46"/>
      <c r="AT435" s="46"/>
      <c r="AU435" s="46"/>
      <c r="AV435" s="46"/>
      <c r="AW435" s="46"/>
      <c r="AX435" s="46"/>
      <c r="AY435" s="46"/>
      <c r="AZ435" s="46"/>
      <c r="BA435" s="46"/>
      <c r="BB435" s="46"/>
      <c r="BC435" s="46"/>
      <c r="BD435" s="46"/>
      <c r="BE435" s="46"/>
    </row>
    <row r="436" spans="1:57" x14ac:dyDescent="0.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c r="AA436" s="46"/>
      <c r="AB436" s="46"/>
      <c r="AC436" s="46"/>
      <c r="AD436" s="46"/>
      <c r="AE436" s="46"/>
      <c r="AF436" s="46"/>
      <c r="AG436" s="46"/>
      <c r="AH436" s="46"/>
      <c r="AI436" s="46"/>
      <c r="AJ436" s="46"/>
      <c r="AK436" s="50"/>
      <c r="AL436" s="47"/>
      <c r="AM436" s="46"/>
      <c r="AN436" s="46"/>
      <c r="AO436" s="46"/>
      <c r="AP436" s="46"/>
      <c r="AQ436" s="46"/>
      <c r="AR436" s="46"/>
      <c r="AS436" s="46"/>
      <c r="AT436" s="46"/>
      <c r="AU436" s="46"/>
      <c r="AV436" s="46"/>
      <c r="AW436" s="46"/>
      <c r="AX436" s="46"/>
      <c r="AY436" s="46"/>
      <c r="AZ436" s="46"/>
      <c r="BA436" s="46"/>
      <c r="BB436" s="46"/>
      <c r="BC436" s="46"/>
      <c r="BD436" s="46"/>
      <c r="BE436" s="46"/>
    </row>
    <row r="437" spans="1:57" x14ac:dyDescent="0.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c r="AA437" s="46"/>
      <c r="AB437" s="46"/>
      <c r="AC437" s="46"/>
      <c r="AD437" s="46"/>
      <c r="AE437" s="46"/>
      <c r="AF437" s="46"/>
      <c r="AG437" s="46"/>
      <c r="AH437" s="46"/>
      <c r="AI437" s="46"/>
      <c r="AJ437" s="46"/>
      <c r="AK437" s="50"/>
      <c r="AL437" s="47"/>
      <c r="AM437" s="46"/>
      <c r="AN437" s="46"/>
      <c r="AO437" s="46"/>
      <c r="AP437" s="46"/>
      <c r="AQ437" s="46"/>
      <c r="AR437" s="46"/>
      <c r="AS437" s="46"/>
      <c r="AT437" s="46"/>
      <c r="AU437" s="46"/>
      <c r="AV437" s="46"/>
      <c r="AW437" s="46"/>
      <c r="AX437" s="46"/>
      <c r="AY437" s="46"/>
      <c r="AZ437" s="46"/>
      <c r="BA437" s="46"/>
      <c r="BB437" s="46"/>
      <c r="BC437" s="46"/>
      <c r="BD437" s="46"/>
      <c r="BE437" s="46"/>
    </row>
    <row r="438" spans="1:57" x14ac:dyDescent="0.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c r="AA438" s="46"/>
      <c r="AB438" s="46"/>
      <c r="AC438" s="46"/>
      <c r="AD438" s="46"/>
      <c r="AE438" s="46"/>
      <c r="AF438" s="46"/>
      <c r="AG438" s="46"/>
      <c r="AH438" s="46"/>
      <c r="AI438" s="46"/>
      <c r="AJ438" s="46"/>
      <c r="AK438" s="50"/>
      <c r="AL438" s="47"/>
      <c r="AM438" s="46"/>
      <c r="AN438" s="46"/>
      <c r="AO438" s="46"/>
      <c r="AP438" s="46"/>
      <c r="AQ438" s="46"/>
      <c r="AR438" s="46"/>
      <c r="AS438" s="46"/>
      <c r="AT438" s="46"/>
      <c r="AU438" s="46"/>
      <c r="AV438" s="46"/>
      <c r="AW438" s="46"/>
      <c r="AX438" s="46"/>
      <c r="AY438" s="46"/>
      <c r="AZ438" s="46"/>
      <c r="BA438" s="46"/>
      <c r="BB438" s="46"/>
      <c r="BC438" s="46"/>
      <c r="BD438" s="46"/>
      <c r="BE438" s="46"/>
    </row>
    <row r="439" spans="1:57" x14ac:dyDescent="0.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c r="AA439" s="46"/>
      <c r="AB439" s="46"/>
      <c r="AC439" s="46"/>
      <c r="AD439" s="46"/>
      <c r="AE439" s="46"/>
      <c r="AF439" s="46"/>
      <c r="AG439" s="46"/>
      <c r="AH439" s="46"/>
      <c r="AI439" s="46"/>
      <c r="AJ439" s="46"/>
      <c r="AK439" s="50"/>
      <c r="AL439" s="47"/>
      <c r="AM439" s="46"/>
      <c r="AN439" s="46"/>
      <c r="AO439" s="46"/>
      <c r="AP439" s="46"/>
      <c r="AQ439" s="46"/>
      <c r="AR439" s="46"/>
      <c r="AS439" s="46"/>
      <c r="AT439" s="46"/>
      <c r="AU439" s="46"/>
      <c r="AV439" s="46"/>
      <c r="AW439" s="46"/>
      <c r="AX439" s="46"/>
      <c r="AY439" s="46"/>
      <c r="AZ439" s="46"/>
      <c r="BA439" s="46"/>
      <c r="BB439" s="46"/>
      <c r="BC439" s="46"/>
      <c r="BD439" s="46"/>
      <c r="BE439" s="46"/>
    </row>
    <row r="440" spans="1:57" x14ac:dyDescent="0.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c r="AA440" s="46"/>
      <c r="AB440" s="46"/>
      <c r="AC440" s="46"/>
      <c r="AD440" s="46"/>
      <c r="AE440" s="46"/>
      <c r="AF440" s="46"/>
      <c r="AG440" s="46"/>
      <c r="AH440" s="46"/>
      <c r="AI440" s="46"/>
      <c r="AJ440" s="46"/>
      <c r="AK440" s="50"/>
      <c r="AL440" s="47"/>
      <c r="AM440" s="46"/>
      <c r="AN440" s="46"/>
      <c r="AO440" s="46"/>
      <c r="AP440" s="46"/>
      <c r="AQ440" s="46"/>
      <c r="AR440" s="46"/>
      <c r="AS440" s="46"/>
      <c r="AT440" s="46"/>
      <c r="AU440" s="46"/>
      <c r="AV440" s="46"/>
      <c r="AW440" s="46"/>
      <c r="AX440" s="46"/>
      <c r="AY440" s="46"/>
      <c r="AZ440" s="46"/>
      <c r="BA440" s="46"/>
      <c r="BB440" s="46"/>
      <c r="BC440" s="46"/>
      <c r="BD440" s="46"/>
      <c r="BE440" s="46"/>
    </row>
    <row r="441" spans="1:57" x14ac:dyDescent="0.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c r="AA441" s="46"/>
      <c r="AB441" s="46"/>
      <c r="AC441" s="46"/>
      <c r="AD441" s="46"/>
      <c r="AE441" s="46"/>
      <c r="AF441" s="46"/>
      <c r="AG441" s="46"/>
      <c r="AH441" s="46"/>
      <c r="AI441" s="46"/>
      <c r="AJ441" s="46"/>
      <c r="AK441" s="50"/>
      <c r="AL441" s="47"/>
      <c r="AM441" s="46"/>
      <c r="AN441" s="46"/>
      <c r="AO441" s="46"/>
      <c r="AP441" s="46"/>
      <c r="AQ441" s="46"/>
      <c r="AR441" s="46"/>
      <c r="AS441" s="46"/>
      <c r="AT441" s="46"/>
      <c r="AU441" s="46"/>
      <c r="AV441" s="46"/>
      <c r="AW441" s="46"/>
      <c r="AX441" s="46"/>
      <c r="AY441" s="46"/>
      <c r="AZ441" s="46"/>
      <c r="BA441" s="46"/>
      <c r="BB441" s="46"/>
      <c r="BC441" s="46"/>
      <c r="BD441" s="46"/>
      <c r="BE441" s="46"/>
    </row>
    <row r="442" spans="1:57" x14ac:dyDescent="0.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c r="AA442" s="46"/>
      <c r="AB442" s="46"/>
      <c r="AC442" s="46"/>
      <c r="AD442" s="46"/>
      <c r="AE442" s="46"/>
      <c r="AF442" s="46"/>
      <c r="AG442" s="46"/>
      <c r="AH442" s="46"/>
      <c r="AI442" s="46"/>
      <c r="AJ442" s="46"/>
      <c r="AK442" s="50"/>
      <c r="AL442" s="47"/>
      <c r="AM442" s="46"/>
      <c r="AN442" s="46"/>
      <c r="AO442" s="46"/>
      <c r="AP442" s="46"/>
      <c r="AQ442" s="46"/>
      <c r="AR442" s="46"/>
      <c r="AS442" s="46"/>
      <c r="AT442" s="46"/>
      <c r="AU442" s="46"/>
      <c r="AV442" s="46"/>
      <c r="AW442" s="46"/>
      <c r="AX442" s="46"/>
      <c r="AY442" s="46"/>
      <c r="AZ442" s="46"/>
      <c r="BA442" s="46"/>
      <c r="BB442" s="46"/>
      <c r="BC442" s="46"/>
      <c r="BD442" s="46"/>
      <c r="BE442" s="46"/>
    </row>
    <row r="443" spans="1:57" x14ac:dyDescent="0.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c r="AA443" s="46"/>
      <c r="AB443" s="46"/>
      <c r="AC443" s="46"/>
      <c r="AD443" s="46"/>
      <c r="AE443" s="46"/>
      <c r="AF443" s="46"/>
      <c r="AG443" s="46"/>
      <c r="AH443" s="46"/>
      <c r="AI443" s="46"/>
      <c r="AJ443" s="46"/>
      <c r="AK443" s="50"/>
      <c r="AL443" s="47"/>
      <c r="AM443" s="46"/>
      <c r="AN443" s="46"/>
      <c r="AO443" s="46"/>
      <c r="AP443" s="46"/>
      <c r="AQ443" s="46"/>
      <c r="AR443" s="46"/>
      <c r="AS443" s="46"/>
      <c r="AT443" s="46"/>
      <c r="AU443" s="46"/>
      <c r="AV443" s="46"/>
      <c r="AW443" s="46"/>
      <c r="AX443" s="46"/>
      <c r="AY443" s="46"/>
      <c r="AZ443" s="46"/>
      <c r="BA443" s="46"/>
      <c r="BB443" s="46"/>
      <c r="BC443" s="46"/>
      <c r="BD443" s="46"/>
      <c r="BE443" s="46"/>
    </row>
    <row r="444" spans="1:57" x14ac:dyDescent="0.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c r="AA444" s="46"/>
      <c r="AB444" s="46"/>
      <c r="AC444" s="46"/>
      <c r="AD444" s="46"/>
      <c r="AE444" s="46"/>
      <c r="AF444" s="46"/>
      <c r="AG444" s="46"/>
      <c r="AH444" s="46"/>
      <c r="AI444" s="46"/>
      <c r="AJ444" s="46"/>
      <c r="AK444" s="50"/>
      <c r="AL444" s="47"/>
      <c r="AM444" s="46"/>
      <c r="AN444" s="46"/>
      <c r="AO444" s="46"/>
      <c r="AP444" s="46"/>
      <c r="AQ444" s="46"/>
      <c r="AR444" s="46"/>
      <c r="AS444" s="46"/>
      <c r="AT444" s="46"/>
      <c r="AU444" s="46"/>
      <c r="AV444" s="46"/>
      <c r="AW444" s="46"/>
      <c r="AX444" s="46"/>
      <c r="AY444" s="46"/>
      <c r="AZ444" s="46"/>
      <c r="BA444" s="46"/>
      <c r="BB444" s="46"/>
      <c r="BC444" s="46"/>
      <c r="BD444" s="46"/>
      <c r="BE444" s="46"/>
    </row>
    <row r="445" spans="1:57" x14ac:dyDescent="0.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c r="AA445" s="46"/>
      <c r="AB445" s="46"/>
      <c r="AC445" s="46"/>
      <c r="AD445" s="46"/>
      <c r="AE445" s="46"/>
      <c r="AF445" s="46"/>
      <c r="AG445" s="46"/>
      <c r="AH445" s="46"/>
      <c r="AI445" s="46"/>
      <c r="AJ445" s="46"/>
      <c r="AK445" s="50"/>
      <c r="AL445" s="47"/>
      <c r="AM445" s="46"/>
      <c r="AN445" s="46"/>
      <c r="AO445" s="46"/>
      <c r="AP445" s="46"/>
      <c r="AQ445" s="46"/>
      <c r="AR445" s="46"/>
      <c r="AS445" s="46"/>
      <c r="AT445" s="46"/>
      <c r="AU445" s="46"/>
      <c r="AV445" s="46"/>
      <c r="AW445" s="46"/>
      <c r="AX445" s="46"/>
      <c r="AY445" s="46"/>
      <c r="AZ445" s="46"/>
      <c r="BA445" s="46"/>
      <c r="BB445" s="46"/>
      <c r="BC445" s="46"/>
      <c r="BD445" s="46"/>
      <c r="BE445" s="46"/>
    </row>
    <row r="446" spans="1:57" x14ac:dyDescent="0.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c r="AA446" s="46"/>
      <c r="AB446" s="46"/>
      <c r="AC446" s="46"/>
      <c r="AD446" s="46"/>
      <c r="AE446" s="46"/>
      <c r="AF446" s="46"/>
      <c r="AG446" s="46"/>
      <c r="AH446" s="46"/>
      <c r="AI446" s="46"/>
      <c r="AJ446" s="46"/>
      <c r="AK446" s="50"/>
      <c r="AL446" s="47"/>
      <c r="AM446" s="46"/>
      <c r="AN446" s="46"/>
      <c r="AO446" s="46"/>
      <c r="AP446" s="46"/>
      <c r="AQ446" s="46"/>
      <c r="AR446" s="46"/>
      <c r="AS446" s="46"/>
      <c r="AT446" s="46"/>
      <c r="AU446" s="46"/>
      <c r="AV446" s="46"/>
      <c r="AW446" s="46"/>
      <c r="AX446" s="46"/>
      <c r="AY446" s="46"/>
      <c r="AZ446" s="46"/>
      <c r="BA446" s="46"/>
      <c r="BB446" s="46"/>
      <c r="BC446" s="46"/>
      <c r="BD446" s="46"/>
      <c r="BE446" s="46"/>
    </row>
  </sheetData>
  <sheetProtection selectLockedCells="1"/>
  <pageMargins left="0.70866141732283472" right="0.70866141732283472" top="0.74803149606299213" bottom="0.74803149606299213" header="0.31496062992125984" footer="0.31496062992125984"/>
  <pageSetup orientation="landscape"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Tag Metadata</vt:lpstr>
    </vt:vector>
  </TitlesOfParts>
  <Company>University Of Maine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Sander Samuel Elliott</dc:creator>
  <cp:lastModifiedBy>Sander Samuel Elliott</cp:lastModifiedBy>
  <dcterms:created xsi:type="dcterms:W3CDTF">2026-04-01T12:51:14Z</dcterms:created>
  <dcterms:modified xsi:type="dcterms:W3CDTF">2026-04-01T12:58:37Z</dcterms:modified>
</cp:coreProperties>
</file>