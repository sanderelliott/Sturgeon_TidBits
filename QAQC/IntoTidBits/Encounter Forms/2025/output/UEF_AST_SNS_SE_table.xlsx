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03cf4e0d6e7cfb9/Desktop/Code/Sturgeon_TidBits/QAQC/IntoTidBits/Encounter Forms/2025/output/"/>
    </mc:Choice>
  </mc:AlternateContent>
  <xr:revisionPtr revIDLastSave="12" documentId="8_{43B0F0C5-8375-4522-B6D3-4DF45A795D73}" xr6:coauthVersionLast="47" xr6:coauthVersionMax="47" xr10:uidLastSave="{CE5BC9DB-B654-4876-B2DD-B414855BBC9F}"/>
  <workbookProtection lockStructure="1"/>
  <bookViews>
    <workbookView xWindow="-110" yWindow="-110" windowWidth="25820" windowHeight="15500" activeTab="1" xr2:uid="{00000000-000D-0000-FFFF-FFFF00000000}"/>
  </bookViews>
  <sheets>
    <sheet name="Initial Capture" sheetId="7" r:id="rId1"/>
    <sheet name="Recapture-NewTag" sheetId="8" r:id="rId2"/>
    <sheet name="Detections" sheetId="10" r:id="rId3"/>
    <sheet name="Database Mapping (Current) " sheetId="6" r:id="rId4"/>
    <sheet name="Lookup" sheetId="2" r:id="rId5"/>
    <sheet name="Database Mapping (OLD)" sheetId="4" r:id="rId6"/>
  </sheets>
  <definedNames>
    <definedName name="_2_Yagi">Lookup!$R$3:$R$14</definedName>
    <definedName name="_3_Yagi">Lookup!$R$3:$R$14</definedName>
    <definedName name="_4_Yagi">Lookup!$R$3:$R$14</definedName>
    <definedName name="_5_Yagi">Lookup!$R$3:$R$14</definedName>
    <definedName name="dd_receivermodels">Lookup!$D$2:INDEX(Lookup!$D:$D, COUNTA(Lookup!$D:$D))</definedName>
    <definedName name="dd_receivertypes">Lookup!$O$2:$O$20</definedName>
    <definedName name="PIT">Lookup!$P$2:$P$4</definedName>
    <definedName name="_xlnm.Print_Area" localSheetId="3">'Database Mapping (Current) '!$A$1:$J$51</definedName>
    <definedName name="Radio">Lookup!$Q$3:$Q$7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tc={A9FBDE61-374C-4F89-B54E-D7F8CE153835}</author>
  </authors>
  <commentList>
    <comment ref="G1" authorId="0" shapeId="0" xr:uid="{A9FBDE61-374C-4F89-B54E-D7F8CE15383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tc={747A2A2B-E70D-4DD5-9E8C-04968B466238}</author>
  </authors>
  <commentList>
    <comment ref="D21" authorId="0" shapeId="0" xr:uid="{747A2A2B-E70D-4DD5-9E8C-04968B466238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Optional/remove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tc={F54DE2DC-8337-4D20-97D0-BE7ABDC89A00}</author>
  </authors>
  <commentList>
    <comment ref="A17" authorId="0" shapeId="0" xr:uid="{F54DE2DC-8337-4D20-97D0-BE7ABDC89A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Release information may be handled as a second data line if different from capture </t>
      </text>
    </comment>
  </commentList>
</comments>
</file>

<file path=xl/sharedStrings.xml><?xml version="1.0" encoding="utf-8"?>
<sst xmlns="http://schemas.openxmlformats.org/spreadsheetml/2006/main" count="2068" uniqueCount="441">
  <si>
    <t>Easting</t>
  </si>
  <si>
    <t>Northing</t>
  </si>
  <si>
    <t>UTMZone</t>
  </si>
  <si>
    <t>TagType</t>
  </si>
  <si>
    <t>PIT</t>
  </si>
  <si>
    <t>Species</t>
  </si>
  <si>
    <t>ALW</t>
  </si>
  <si>
    <t>ATS</t>
  </si>
  <si>
    <t>AST</t>
  </si>
  <si>
    <t>BBK</t>
  </si>
  <si>
    <t>BKT</t>
  </si>
  <si>
    <t>LMP</t>
  </si>
  <si>
    <t>SHD</t>
  </si>
  <si>
    <t>SNS</t>
  </si>
  <si>
    <t>SMB</t>
  </si>
  <si>
    <t>STB</t>
  </si>
  <si>
    <t>LWF</t>
  </si>
  <si>
    <t>Origin</t>
  </si>
  <si>
    <t>Stage</t>
  </si>
  <si>
    <t>Timestamp</t>
  </si>
  <si>
    <t>Alive</t>
  </si>
  <si>
    <t>Release_Easting</t>
  </si>
  <si>
    <t>Release_Northing</t>
  </si>
  <si>
    <t>Notes</t>
  </si>
  <si>
    <t>External_TagID</t>
  </si>
  <si>
    <t>VIE</t>
  </si>
  <si>
    <t>ForkLength</t>
  </si>
  <si>
    <t>TotalLength</t>
  </si>
  <si>
    <t>Mass</t>
  </si>
  <si>
    <t>Sex</t>
  </si>
  <si>
    <t>Interorbital</t>
  </si>
  <si>
    <t>InsideMouth</t>
  </si>
  <si>
    <t>OutsideMouth</t>
  </si>
  <si>
    <t>Clip1</t>
  </si>
  <si>
    <t>Clip2</t>
  </si>
  <si>
    <t>Recapture</t>
  </si>
  <si>
    <t>ForkLength unit</t>
  </si>
  <si>
    <t>TotalLength unit</t>
  </si>
  <si>
    <t>Mass unit</t>
  </si>
  <si>
    <t>TABLE</t>
  </si>
  <si>
    <t>COLUMN</t>
  </si>
  <si>
    <t>Fish</t>
  </si>
  <si>
    <t>Capture</t>
  </si>
  <si>
    <t>need System, CaptureLocation, InitialRelease (T/F)??</t>
  </si>
  <si>
    <t>OtherMeasures</t>
  </si>
  <si>
    <t>CaptureDate</t>
  </si>
  <si>
    <t>Length unit</t>
  </si>
  <si>
    <t>MassUnit</t>
  </si>
  <si>
    <t>NEW</t>
  </si>
  <si>
    <t>Get FishID using these various TAG parameters</t>
  </si>
  <si>
    <t>??</t>
  </si>
  <si>
    <t>Universal Fish/Event form</t>
  </si>
  <si>
    <t>These will get collapsed into a structured string that will be flexible enough to handle distinct measures for individual species.</t>
  </si>
  <si>
    <t>AcousticSensor</t>
  </si>
  <si>
    <t>CaptureATS</t>
  </si>
  <si>
    <t>DevelopmentalStage</t>
  </si>
  <si>
    <t>Only used for Atlantic Salmon?</t>
  </si>
  <si>
    <t>System</t>
  </si>
  <si>
    <t>CHP</t>
  </si>
  <si>
    <t>WCF</t>
  </si>
  <si>
    <t>Alewife</t>
  </si>
  <si>
    <t>AME</t>
  </si>
  <si>
    <t>American Eel</t>
  </si>
  <si>
    <t>American Shad</t>
  </si>
  <si>
    <t>Arctic Char</t>
  </si>
  <si>
    <t>Atlantic Salmon</t>
  </si>
  <si>
    <t>Atlantic Sturgeon</t>
  </si>
  <si>
    <t>Blueback Herring</t>
  </si>
  <si>
    <t>Brook Trout</t>
  </si>
  <si>
    <t>Chain Pickerel</t>
  </si>
  <si>
    <t>LLS</t>
  </si>
  <si>
    <t>Landlocked Salmon</t>
  </si>
  <si>
    <t>RIV</t>
  </si>
  <si>
    <t>River herring</t>
  </si>
  <si>
    <t>Sea Lamprey</t>
  </si>
  <si>
    <t>Shortnose Sturgeon</t>
  </si>
  <si>
    <t>Smallmouth Bass</t>
  </si>
  <si>
    <t>Striped Bass</t>
  </si>
  <si>
    <t>White Catfish</t>
  </si>
  <si>
    <t>Whitefish</t>
  </si>
  <si>
    <t>RadioCode</t>
  </si>
  <si>
    <t>Acoustic</t>
  </si>
  <si>
    <t>Radio</t>
  </si>
  <si>
    <t>Floy</t>
  </si>
  <si>
    <t>Satellite</t>
  </si>
  <si>
    <t>Other</t>
  </si>
  <si>
    <t>Observed_TagType</t>
  </si>
  <si>
    <t>Observed_AcousticTagID</t>
  </si>
  <si>
    <t>Observed_Clip2</t>
  </si>
  <si>
    <t>Observed_Clip1</t>
  </si>
  <si>
    <t>Observed_VIE</t>
  </si>
  <si>
    <t>Format</t>
  </si>
  <si>
    <t>Big Eagle Lake</t>
  </si>
  <si>
    <t>Big Reed Pond</t>
  </si>
  <si>
    <t>Clear Lake</t>
  </si>
  <si>
    <t>Cobscook</t>
  </si>
  <si>
    <t>Cove Brook</t>
  </si>
  <si>
    <t>Damariscotta</t>
  </si>
  <si>
    <t>Delaware</t>
  </si>
  <si>
    <t>Gulf</t>
  </si>
  <si>
    <t>Kennebec</t>
  </si>
  <si>
    <t>Medomak</t>
  </si>
  <si>
    <t>Passagassawakeag</t>
  </si>
  <si>
    <t>Penobscot</t>
  </si>
  <si>
    <t>Piscataqua</t>
  </si>
  <si>
    <t>Rapid River</t>
  </si>
  <si>
    <t>Sedgeunkedunk</t>
  </si>
  <si>
    <t>St. Froid Lake</t>
  </si>
  <si>
    <t>St. George</t>
  </si>
  <si>
    <t>Wiscasset</t>
  </si>
  <si>
    <t>mm/dd/yyyy h24:mi:ss</t>
  </si>
  <si>
    <t>Release_Timestamp</t>
  </si>
  <si>
    <t>CaptureLocation</t>
  </si>
  <si>
    <t>currently not stored in Tidbits</t>
  </si>
  <si>
    <t>InitialRelease</t>
  </si>
  <si>
    <t>Cannot find where Release timestamp and release location are stored</t>
  </si>
  <si>
    <t xml:space="preserve">Event </t>
  </si>
  <si>
    <t>Release_Timezone</t>
  </si>
  <si>
    <t>Release_Location</t>
  </si>
  <si>
    <t>Capture_Location</t>
  </si>
  <si>
    <t>PIT_ID</t>
  </si>
  <si>
    <t>Acoustic_ ID</t>
  </si>
  <si>
    <t>Radio_ID</t>
  </si>
  <si>
    <t>Radio_Power</t>
  </si>
  <si>
    <t>Radio_Freq</t>
  </si>
  <si>
    <t>Mandatory Capture Time</t>
  </si>
  <si>
    <t>Observed_PIT_ID</t>
  </si>
  <si>
    <t>Observed_Radio_ID</t>
  </si>
  <si>
    <t>Observed_Radio_Freq</t>
  </si>
  <si>
    <t>Observed_External_ID</t>
  </si>
  <si>
    <t>ForkLength (cm)</t>
  </si>
  <si>
    <t>Delete</t>
  </si>
  <si>
    <t>Mass (g)</t>
  </si>
  <si>
    <t>SEX</t>
  </si>
  <si>
    <t>UNK</t>
  </si>
  <si>
    <t>EVENT</t>
  </si>
  <si>
    <t>Detection</t>
  </si>
  <si>
    <t xml:space="preserve">First contact with any fish </t>
  </si>
  <si>
    <t xml:space="preserve">Physical contact with previously tagged </t>
  </si>
  <si>
    <t xml:space="preserve">Remote detection </t>
  </si>
  <si>
    <t>Application of new tag to fish with previous history</t>
  </si>
  <si>
    <t>Mandatory - see lookup</t>
  </si>
  <si>
    <t>Optional</t>
  </si>
  <si>
    <t xml:space="preserve">Hatchery </t>
  </si>
  <si>
    <t xml:space="preserve">Wild </t>
  </si>
  <si>
    <t xml:space="preserve">Stage </t>
  </si>
  <si>
    <t>Parr</t>
  </si>
  <si>
    <t xml:space="preserve">Smolt </t>
  </si>
  <si>
    <t xml:space="preserve">Juvenile </t>
  </si>
  <si>
    <t>Adult</t>
  </si>
  <si>
    <t>Optional (note)</t>
  </si>
  <si>
    <t xml:space="preserve">UTM_Zone </t>
  </si>
  <si>
    <t>Mandatory - Lookup</t>
  </si>
  <si>
    <t>Alive?</t>
  </si>
  <si>
    <t>Release?</t>
  </si>
  <si>
    <t xml:space="preserve">Post-spawn </t>
  </si>
  <si>
    <t>only one choice</t>
  </si>
  <si>
    <t>Default to capture if empty</t>
  </si>
  <si>
    <t xml:space="preserve">Default to capture if empty  </t>
  </si>
  <si>
    <t>Mandatory Capture Time_Zone</t>
  </si>
  <si>
    <t>Mandatory - numeric entry</t>
  </si>
  <si>
    <t xml:space="preserve">Mandatory - numeric entry </t>
  </si>
  <si>
    <t>Mandatory - Look up</t>
  </si>
  <si>
    <t xml:space="preserve">Optional (note)  </t>
  </si>
  <si>
    <t>Mandatory if PIT</t>
  </si>
  <si>
    <t>Mandatory if Radio</t>
  </si>
  <si>
    <t>Mandatory if Observed</t>
  </si>
  <si>
    <t xml:space="preserve">Optional </t>
  </si>
  <si>
    <t xml:space="preserve">Mandatory if "floy", "carlin" or "other" </t>
  </si>
  <si>
    <t>None</t>
  </si>
  <si>
    <t xml:space="preserve">None </t>
  </si>
  <si>
    <t>L-Red</t>
  </si>
  <si>
    <t>R-Red</t>
  </si>
  <si>
    <t>L-Yellow</t>
  </si>
  <si>
    <t>L-Green</t>
  </si>
  <si>
    <t>R-Yellow</t>
  </si>
  <si>
    <t>R-Green</t>
  </si>
  <si>
    <t>Mandatory for "Initial", "recapture" and "new tag"  - (not detection)</t>
  </si>
  <si>
    <t>Optional (Note)</t>
  </si>
  <si>
    <t>Optional (lookup)</t>
  </si>
  <si>
    <t>Time_zone</t>
  </si>
  <si>
    <t xml:space="preserve">Time_Zone </t>
  </si>
  <si>
    <t>Eastern</t>
  </si>
  <si>
    <t>Atlantic</t>
  </si>
  <si>
    <t xml:space="preserve">Mandatory -(lookup) </t>
  </si>
  <si>
    <t>Mandatory - if Acoustic</t>
  </si>
  <si>
    <t>Mandatory (lookup)</t>
  </si>
  <si>
    <t>Acoustic_ Sensor_value</t>
  </si>
  <si>
    <t>TotalLength (cm)</t>
  </si>
  <si>
    <t>STRG_Interorbital</t>
  </si>
  <si>
    <t>STRG_InsideMouth</t>
  </si>
  <si>
    <t>STRG_OutsideMouth</t>
  </si>
  <si>
    <t xml:space="preserve">Optional (lookup)  </t>
  </si>
  <si>
    <t>Mandatory (numeric entry)</t>
  </si>
  <si>
    <t xml:space="preserve">Mandatory  (numeric entry) </t>
  </si>
  <si>
    <t>Mandatory  (lookup)</t>
  </si>
  <si>
    <t>Mandatory - (conditional -if "PIT") otherwise Optional</t>
  </si>
  <si>
    <t>Mandatory - (conditional -if "Acoustic") otherwise Optional</t>
  </si>
  <si>
    <t>Mandatory - (conditional -if "Radio") otherwise Optional</t>
  </si>
  <si>
    <t>Rearing Origin</t>
  </si>
  <si>
    <t xml:space="preserve">life stages </t>
  </si>
  <si>
    <t>UTC</t>
  </si>
  <si>
    <t>Optional (note, txt entry)</t>
  </si>
  <si>
    <t>other</t>
  </si>
  <si>
    <t>Yes</t>
  </si>
  <si>
    <t>No</t>
  </si>
  <si>
    <t xml:space="preserve">Capture Disposition </t>
  </si>
  <si>
    <t>Live</t>
  </si>
  <si>
    <t>Dead</t>
  </si>
  <si>
    <t>Encounter_Time_zone</t>
  </si>
  <si>
    <t>Encounter_Timestamp (STD)</t>
  </si>
  <si>
    <t>Encounter_Location</t>
  </si>
  <si>
    <t>Encounter_Easting</t>
  </si>
  <si>
    <t>Encounter_Northing</t>
  </si>
  <si>
    <t>Encounter_UTMZone</t>
  </si>
  <si>
    <t>Encounter_Disposition</t>
  </si>
  <si>
    <t>Unknown</t>
  </si>
  <si>
    <t>(all detections)</t>
  </si>
  <si>
    <t>Not Applicable</t>
  </si>
  <si>
    <t>Release_Status</t>
  </si>
  <si>
    <t>M</t>
  </si>
  <si>
    <t>F</t>
  </si>
  <si>
    <t xml:space="preserve">Operator(s) </t>
  </si>
  <si>
    <t>NA</t>
  </si>
  <si>
    <t>Category</t>
  </si>
  <si>
    <t>Encounter Data</t>
  </si>
  <si>
    <t>Release Data</t>
  </si>
  <si>
    <t>General</t>
  </si>
  <si>
    <t xml:space="preserve">Tagging and Marking data </t>
  </si>
  <si>
    <t xml:space="preserve">Biological Data </t>
  </si>
  <si>
    <t xml:space="preserve">Notes </t>
  </si>
  <si>
    <t>ALIVE</t>
  </si>
  <si>
    <t>New</t>
  </si>
  <si>
    <t>Tags</t>
  </si>
  <si>
    <t>AcousticCodeSpace + AcousticIDCode</t>
  </si>
  <si>
    <t>PITIDNo</t>
  </si>
  <si>
    <t>Frequency</t>
  </si>
  <si>
    <t>VisualIDNo</t>
  </si>
  <si>
    <t>Mandatory - (conditional -if "floy" or "other" ) otherwise Optional</t>
  </si>
  <si>
    <t>StockingMark1</t>
  </si>
  <si>
    <t>StockingMark2</t>
  </si>
  <si>
    <t>CaptureAST</t>
  </si>
  <si>
    <t xml:space="preserve">Species </t>
  </si>
  <si>
    <t xml:space="preserve">Release_Status </t>
  </si>
  <si>
    <t>A69-XXXX-ID CODE</t>
  </si>
  <si>
    <t>6 digit, no decimal</t>
  </si>
  <si>
    <t xml:space="preserve">7 digit, no decimal </t>
  </si>
  <si>
    <t>STRG_Interorbital (mm)</t>
  </si>
  <si>
    <t>STRG_InsideMouth (mm)</t>
  </si>
  <si>
    <t>STRG_OutsideMouth (mm)</t>
  </si>
  <si>
    <t>STRG_Interorbital(mm)</t>
  </si>
  <si>
    <t>STRG_InsideMouth(mm)</t>
  </si>
  <si>
    <t>STRG_OutsideMouth(mm)</t>
  </si>
  <si>
    <t>Encounter_Timestamp</t>
  </si>
  <si>
    <t>Rearing_Origin</t>
  </si>
  <si>
    <t>Initial_Capture</t>
  </si>
  <si>
    <t>New_Tag</t>
  </si>
  <si>
    <t>O</t>
  </si>
  <si>
    <t>D</t>
  </si>
  <si>
    <t>CM</t>
  </si>
  <si>
    <t>CM = CONDITIONALLY MANDATORY</t>
  </si>
  <si>
    <t>EVENT TRACKS</t>
  </si>
  <si>
    <t>Event</t>
  </si>
  <si>
    <t>Acoustic_ID</t>
  </si>
  <si>
    <t>Acoustic_Sensor_value</t>
  </si>
  <si>
    <t>Operator(s)</t>
  </si>
  <si>
    <t>Initial capture</t>
  </si>
  <si>
    <t>ARC</t>
  </si>
  <si>
    <t>SensorType</t>
  </si>
  <si>
    <t>Temp (T)</t>
  </si>
  <si>
    <t>Depth (D)</t>
  </si>
  <si>
    <t>Pred (P)</t>
  </si>
  <si>
    <t>Acoustic_ Sensor_type</t>
  </si>
  <si>
    <t>Acoustic_Sensor</t>
  </si>
  <si>
    <t>Acoustic_ Sensor_idcode</t>
  </si>
  <si>
    <t>IDCode</t>
  </si>
  <si>
    <t>TagManufacturer</t>
  </si>
  <si>
    <t>TagModel</t>
  </si>
  <si>
    <t>TagSerialNumber</t>
  </si>
  <si>
    <t>Mandatory for "Initial" and "new tag"  - (not detection)</t>
  </si>
  <si>
    <t>SensorValue (Detection only)</t>
  </si>
  <si>
    <t>RawAcoustic</t>
  </si>
  <si>
    <t>Acoustic_sensor table on Initial_Capture, New_Tag event; RawAcoustic table on Detection event.</t>
  </si>
  <si>
    <t>DeathDate</t>
  </si>
  <si>
    <t>AcousticSerialNo</t>
  </si>
  <si>
    <t>Radio_BurstRate</t>
  </si>
  <si>
    <t>RadioBurstRate</t>
  </si>
  <si>
    <t>RawRadio</t>
  </si>
  <si>
    <t>Power (Detection only)</t>
  </si>
  <si>
    <t>CaptureTimeZone</t>
  </si>
  <si>
    <t>ReleaseTimeZone</t>
  </si>
  <si>
    <t>ReleaseDate</t>
  </si>
  <si>
    <t>ReleaseLocation</t>
  </si>
  <si>
    <t>ReleaseEasting</t>
  </si>
  <si>
    <t>ReleaseNorthing</t>
  </si>
  <si>
    <t>Acoustic_Sensor_type</t>
  </si>
  <si>
    <t>calculated</t>
  </si>
  <si>
    <t>EstTagLife</t>
  </si>
  <si>
    <t>Multiple</t>
  </si>
  <si>
    <t>Observed_Acoustic_ID</t>
  </si>
  <si>
    <t>Observed_External_TagID</t>
  </si>
  <si>
    <t>Acoustic_Codespace</t>
  </si>
  <si>
    <t>Acoustic_IDCode</t>
  </si>
  <si>
    <t>Get FishID using observed tag parameters</t>
  </si>
  <si>
    <t>Observed Tags</t>
  </si>
  <si>
    <t>New Tag</t>
  </si>
  <si>
    <r>
      <rPr>
        <strike/>
        <sz val="11"/>
        <color theme="1"/>
        <rFont val="Calibri"/>
        <family val="2"/>
        <scheme val="minor"/>
      </rPr>
      <t xml:space="preserve">M  </t>
    </r>
    <r>
      <rPr>
        <sz val="11"/>
        <color theme="1"/>
        <rFont val="Calibri"/>
        <family val="2"/>
        <scheme val="minor"/>
      </rPr>
      <t>remove</t>
    </r>
  </si>
  <si>
    <r>
      <t>O</t>
    </r>
    <r>
      <rPr>
        <sz val="11"/>
        <color theme="1"/>
        <rFont val="Calibri"/>
        <family val="2"/>
        <scheme val="minor"/>
      </rPr>
      <t xml:space="preserve">  remove</t>
    </r>
  </si>
  <si>
    <t>Mark Observed</t>
  </si>
  <si>
    <t>Mark Applied</t>
  </si>
  <si>
    <t>AP</t>
  </si>
  <si>
    <t>AC</t>
  </si>
  <si>
    <t>LV</t>
  </si>
  <si>
    <t>RV</t>
  </si>
  <si>
    <t>TP</t>
  </si>
  <si>
    <t>Wild</t>
  </si>
  <si>
    <t>Gardiner</t>
  </si>
  <si>
    <t>Innovosea</t>
  </si>
  <si>
    <t>V16-4x-BLU-1</t>
  </si>
  <si>
    <t>A69-2801-201133</t>
  </si>
  <si>
    <t>3DD.003E185F8C</t>
  </si>
  <si>
    <t>JZ,SE</t>
  </si>
  <si>
    <t>A69-2801-201127</t>
  </si>
  <si>
    <t>3DD.003E185F8D</t>
  </si>
  <si>
    <t>A69-2801-201134</t>
  </si>
  <si>
    <t>3DD.003E185F93</t>
  </si>
  <si>
    <t>A69-2801-201128</t>
  </si>
  <si>
    <t>3DD.003E185F8F</t>
  </si>
  <si>
    <t>A69-2801-201131</t>
  </si>
  <si>
    <t>3DD.003E185F77</t>
  </si>
  <si>
    <t>A69-2801-201130</t>
  </si>
  <si>
    <t>3DD.003E185F76</t>
  </si>
  <si>
    <t>A69-2801-201132</t>
  </si>
  <si>
    <t>3DD.003E185F92</t>
  </si>
  <si>
    <t>A69-2801-201212</t>
  </si>
  <si>
    <t>3DD.003E185F95</t>
  </si>
  <si>
    <t>Milt</t>
  </si>
  <si>
    <t>A69-2801-201215</t>
  </si>
  <si>
    <t>3DD.003E185F86</t>
  </si>
  <si>
    <t>Hallowell</t>
  </si>
  <si>
    <t>A69-2801-201219</t>
  </si>
  <si>
    <t>3DD.003E185F7F</t>
  </si>
  <si>
    <t>A69-2801-201218</t>
  </si>
  <si>
    <t>3DD.003E185F94</t>
  </si>
  <si>
    <t>A69-2801-201216</t>
  </si>
  <si>
    <t>3DD.003E185F74</t>
  </si>
  <si>
    <t>A69-2801-201221</t>
  </si>
  <si>
    <t>3DD.003E185F91</t>
  </si>
  <si>
    <t>NO RIGHT PEC</t>
  </si>
  <si>
    <t>A69-2801-201220</t>
  </si>
  <si>
    <t>3DD.003E185F90</t>
  </si>
  <si>
    <t>WOUND L</t>
  </si>
  <si>
    <t>A69-2801-201129</t>
  </si>
  <si>
    <t>3DD.003E185F78</t>
  </si>
  <si>
    <t>CAUDAL DEFORMITY</t>
  </si>
  <si>
    <t>A69-2801-201223</t>
  </si>
  <si>
    <t>3DD.003E185F87</t>
  </si>
  <si>
    <t>A69-2801-201222</t>
  </si>
  <si>
    <t>3DD.003E185F6C</t>
  </si>
  <si>
    <t>A69-2801-201217</t>
  </si>
  <si>
    <t>3DD.003E185F89</t>
  </si>
  <si>
    <t>A69-2801-201214</t>
  </si>
  <si>
    <t>3DD.003E185F8E</t>
  </si>
  <si>
    <t>A69-2801-201213</t>
  </si>
  <si>
    <t>3DD.003E185F88</t>
  </si>
  <si>
    <t>A69-2801-201225</t>
  </si>
  <si>
    <t>3DD.003E185F85</t>
  </si>
  <si>
    <t>A69-2801-201224</t>
  </si>
  <si>
    <t>3DD.003E185F68</t>
  </si>
  <si>
    <t>3DD.003E185F69</t>
  </si>
  <si>
    <t>The Spindle</t>
  </si>
  <si>
    <t>A69-2801-201236</t>
  </si>
  <si>
    <t>3DD.003E185F7B</t>
  </si>
  <si>
    <t>A69-2801-201241</t>
  </si>
  <si>
    <t>3DD.003E185F82</t>
  </si>
  <si>
    <t>A69-2801-201245</t>
  </si>
  <si>
    <t>3DD.003E185F6E</t>
  </si>
  <si>
    <t>A69-2801-201246</t>
  </si>
  <si>
    <t>3DD.003E185F8B</t>
  </si>
  <si>
    <t>A69-2801-201243</t>
  </si>
  <si>
    <t>3DD.003E185F8A</t>
  </si>
  <si>
    <t>A69-2801-201242</t>
  </si>
  <si>
    <t>3DD.003E185F7C</t>
  </si>
  <si>
    <t>RIGHT PECTORAL WOUND</t>
  </si>
  <si>
    <t>A69-2801-201229</t>
  </si>
  <si>
    <t>3DD.003E185F81</t>
  </si>
  <si>
    <t>3DD.003E185F6F</t>
  </si>
  <si>
    <t>A69-2801-201233</t>
  </si>
  <si>
    <t>3DD.003E185F7A</t>
  </si>
  <si>
    <t>A69-2801-201239</t>
  </si>
  <si>
    <t>3DD.003E185F66</t>
  </si>
  <si>
    <t>A69-2801-201240</t>
  </si>
  <si>
    <t>3DD.003E185F83</t>
  </si>
  <si>
    <t>A69-2801-201235</t>
  </si>
  <si>
    <t>3DD.003E185F6D</t>
  </si>
  <si>
    <t>A69-2801-201230</t>
  </si>
  <si>
    <t>3DD.003E185F6B</t>
  </si>
  <si>
    <t>A69-2801-201231</t>
  </si>
  <si>
    <t>3DD.003E185F73</t>
  </si>
  <si>
    <t>3DD.003E185F71</t>
  </si>
  <si>
    <t>3DD.003E185F5F</t>
  </si>
  <si>
    <t>A69-2801-201226</t>
  </si>
  <si>
    <t>3DD.003E185F58</t>
  </si>
  <si>
    <t>3DD.003E185F48</t>
  </si>
  <si>
    <t>3DD.003E185F61</t>
  </si>
  <si>
    <t>A69-2801-201238</t>
  </si>
  <si>
    <t>3DD.003E185F53</t>
  </si>
  <si>
    <t>A69-2801-201252</t>
  </si>
  <si>
    <t>3DD.003E185F84</t>
  </si>
  <si>
    <t>A69-2801-201251</t>
  </si>
  <si>
    <t>3DD.003E185F67</t>
  </si>
  <si>
    <t>A69-2801-201227</t>
  </si>
  <si>
    <t>3DD.003BEF3727</t>
  </si>
  <si>
    <t>A69-2801-201237</t>
  </si>
  <si>
    <t>3DD.003E185F64</t>
  </si>
  <si>
    <t>A69-2801-201248</t>
  </si>
  <si>
    <t>3DD.003E185F5A</t>
  </si>
  <si>
    <t>A69-2801-201253</t>
  </si>
  <si>
    <t>3DD.003E185F39</t>
  </si>
  <si>
    <t>A69-2801-201250</t>
  </si>
  <si>
    <t>3DD.003E185F57</t>
  </si>
  <si>
    <t>3DD.003E185F56</t>
  </si>
  <si>
    <t>3DD.003E185F79</t>
  </si>
  <si>
    <t>3DD.003E185F5D</t>
  </si>
  <si>
    <t>3DD.003E185F4E</t>
  </si>
  <si>
    <t>3DD.003E185F46</t>
  </si>
  <si>
    <t>3DD.003E185F80</t>
  </si>
  <si>
    <t>3D9.257C65BA2C</t>
  </si>
  <si>
    <t>A69-2801-201228</t>
  </si>
  <si>
    <t>3DD.003BEF3671</t>
  </si>
  <si>
    <t>A69-2801-201244</t>
  </si>
  <si>
    <t>3D9.1C2D7E000E</t>
  </si>
  <si>
    <t>A69-2801-201247</t>
  </si>
  <si>
    <t>3D9.1C2D6CC918</t>
  </si>
  <si>
    <t>A69-2801-201232</t>
  </si>
  <si>
    <t>3DD.003D99263F</t>
  </si>
  <si>
    <t>A69-2801-201234</t>
  </si>
  <si>
    <t>3D9.1BF14AF288</t>
  </si>
  <si>
    <t>A69-2801-201249</t>
  </si>
  <si>
    <t>GIRTH 78CM</t>
  </si>
  <si>
    <t>UMAINE PREVIOUSE DAY RECAP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</si>
</sst>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mo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FFCC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7" tint="0.39997558519241921"/>
        <bgColor indexed="65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12" borderId="0" applyNumberFormat="0" applyBorder="0" applyAlignment="0" applyProtection="0"/>
  </cellStyleXfs>
  <cellXfs count="103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/>
    <xf numFmtId="0" fontId="3" fillId="0" borderId="0" xfId="0" applyFont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4" fillId="0" borderId="0" xfId="0" applyFont="1"/>
    <xf numFmtId="0" fontId="3" fillId="6" borderId="0" xfId="0" applyFont="1" applyFill="1" applyProtection="1"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10" xfId="0" applyFont="1" applyBorder="1"/>
    <xf numFmtId="0" fontId="5" fillId="0" borderId="0" xfId="0" applyFont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0" xfId="0" applyAlignment="1">
      <alignment wrapText="1"/>
    </xf>
    <xf numFmtId="0" fontId="3" fillId="0" borderId="9" xfId="0" applyFont="1" applyBorder="1"/>
    <xf numFmtId="0" fontId="3" fillId="0" borderId="11" xfId="0" applyFont="1" applyBorder="1"/>
    <xf numFmtId="0" fontId="0" fillId="0" borderId="9" xfId="0" applyBorder="1" applyAlignment="1">
      <alignment horizontal="left"/>
    </xf>
    <xf numFmtId="0" fontId="5" fillId="3" borderId="0" xfId="0" applyFont="1" applyFill="1"/>
    <xf numFmtId="0" fontId="6" fillId="0" borderId="0" xfId="0" applyFont="1"/>
    <xf numFmtId="0" fontId="5" fillId="3" borderId="0" xfId="0" applyFont="1" applyFill="1" applyProtection="1">
      <protection locked="0"/>
    </xf>
    <xf numFmtId="0" fontId="0" fillId="0" borderId="12" xfId="0" applyBorder="1"/>
    <xf numFmtId="0" fontId="3" fillId="0" borderId="12" xfId="0" applyFont="1" applyBorder="1"/>
    <xf numFmtId="0" fontId="3" fillId="0" borderId="12" xfId="0" applyFont="1" applyBorder="1" applyAlignment="1">
      <alignment vertical="center"/>
    </xf>
    <xf numFmtId="0" fontId="3" fillId="6" borderId="12" xfId="0" applyFont="1" applyFill="1" applyBorder="1" applyProtection="1">
      <protection locked="0"/>
    </xf>
    <xf numFmtId="0" fontId="0" fillId="0" borderId="13" xfId="0" applyBorder="1"/>
    <xf numFmtId="0" fontId="3" fillId="0" borderId="13" xfId="0" applyFont="1" applyBorder="1" applyAlignment="1">
      <alignment vertical="center"/>
    </xf>
    <xf numFmtId="0" fontId="3" fillId="0" borderId="13" xfId="0" applyFont="1" applyBorder="1"/>
    <xf numFmtId="0" fontId="3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7" xfId="0" applyFont="1" applyBorder="1"/>
    <xf numFmtId="0" fontId="0" fillId="0" borderId="18" xfId="0" applyBorder="1"/>
    <xf numFmtId="0" fontId="3" fillId="0" borderId="14" xfId="0" applyFont="1" applyBorder="1" applyAlignment="1">
      <alignment vertical="center"/>
    </xf>
    <xf numFmtId="0" fontId="0" fillId="0" borderId="20" xfId="0" applyBorder="1"/>
    <xf numFmtId="0" fontId="3" fillId="0" borderId="20" xfId="0" applyFont="1" applyBorder="1"/>
    <xf numFmtId="0" fontId="0" fillId="0" borderId="19" xfId="0" applyBorder="1"/>
    <xf numFmtId="0" fontId="7" fillId="0" borderId="17" xfId="0" applyFont="1" applyBorder="1"/>
    <xf numFmtId="0" fontId="0" fillId="7" borderId="21" xfId="0" applyFill="1" applyBorder="1"/>
    <xf numFmtId="0" fontId="0" fillId="7" borderId="22" xfId="0" applyFill="1" applyBorder="1"/>
    <xf numFmtId="0" fontId="0" fillId="7" borderId="23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4" xfId="0" applyFill="1" applyBorder="1"/>
    <xf numFmtId="0" fontId="0" fillId="2" borderId="25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9" borderId="24" xfId="0" applyFill="1" applyBorder="1"/>
    <xf numFmtId="0" fontId="0" fillId="9" borderId="22" xfId="0" applyFill="1" applyBorder="1"/>
    <xf numFmtId="0" fontId="0" fillId="9" borderId="22" xfId="0" applyFill="1" applyBorder="1" applyAlignment="1">
      <alignment horizontal="left"/>
    </xf>
    <xf numFmtId="0" fontId="0" fillId="9" borderId="22" xfId="0" applyFill="1" applyBorder="1" applyProtection="1">
      <protection locked="0"/>
    </xf>
    <xf numFmtId="0" fontId="0" fillId="10" borderId="22" xfId="0" applyFill="1" applyBorder="1"/>
    <xf numFmtId="0" fontId="0" fillId="11" borderId="22" xfId="0" applyFill="1" applyBorder="1"/>
    <xf numFmtId="0" fontId="0" fillId="2" borderId="12" xfId="0" applyFill="1" applyBorder="1"/>
    <xf numFmtId="164" fontId="0" fillId="2" borderId="22" xfId="0" applyNumberFormat="1" applyFill="1" applyBorder="1"/>
    <xf numFmtId="164" fontId="0" fillId="0" borderId="0" xfId="0" applyNumberFormat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1" xfId="0" applyFont="1" applyBorder="1" applyAlignment="1">
      <alignment horizontal="center"/>
    </xf>
    <xf numFmtId="0" fontId="0" fillId="10" borderId="12" xfId="0" applyFill="1" applyBorder="1"/>
    <xf numFmtId="0" fontId="0" fillId="10" borderId="19" xfId="0" applyFill="1" applyBorder="1" applyAlignment="1">
      <alignment wrapText="1"/>
    </xf>
    <xf numFmtId="0" fontId="0" fillId="10" borderId="13" xfId="0" applyFill="1" applyBorder="1"/>
    <xf numFmtId="0" fontId="0" fillId="10" borderId="0" xfId="0" applyFill="1"/>
    <xf numFmtId="0" fontId="0" fillId="10" borderId="14" xfId="0" applyFill="1" applyBorder="1"/>
    <xf numFmtId="0" fontId="7" fillId="10" borderId="14" xfId="0" applyFont="1" applyFill="1" applyBorder="1"/>
    <xf numFmtId="0" fontId="0" fillId="10" borderId="15" xfId="0" applyFill="1" applyBorder="1"/>
    <xf numFmtId="0" fontId="0" fillId="10" borderId="16" xfId="0" applyFill="1" applyBorder="1"/>
    <xf numFmtId="0" fontId="9" fillId="12" borderId="22" xfId="1" applyBorder="1"/>
    <xf numFmtId="0" fontId="9" fillId="12" borderId="22" xfId="1" applyBorder="1" applyAlignment="1">
      <alignment horizontal="left"/>
    </xf>
    <xf numFmtId="0" fontId="9" fillId="12" borderId="22" xfId="1" applyBorder="1" applyProtection="1">
      <protection locked="0"/>
    </xf>
    <xf numFmtId="0" fontId="0" fillId="3" borderId="0" xfId="0" applyFill="1"/>
    <xf numFmtId="0" fontId="0" fillId="3" borderId="0" xfId="0" applyFill="1" applyProtection="1">
      <protection locked="0"/>
    </xf>
    <xf numFmtId="0" fontId="0" fillId="0" borderId="12" xfId="0" applyBorder="1" applyProtection="1">
      <protection locked="0"/>
    </xf>
    <xf numFmtId="0" fontId="0" fillId="10" borderId="22" xfId="0" applyFill="1" applyBorder="1" applyAlignment="1">
      <alignment horizontal="center"/>
    </xf>
    <xf numFmtId="0" fontId="5" fillId="10" borderId="22" xfId="0" applyFon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22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</cellXfs>
  <cellStyles count="2">
    <cellStyle name="60% - Accent4" xfId="1" builtinId="44"/>
    <cellStyle name="Normal" xfId="0" builtinId="0"/>
  </cellStyles>
  <dxfs count="6">
    <dxf>
      <fill>
        <patternFill patternType="solid">
          <fgColor indexed="64"/>
          <bgColor rgb="FFFFFF00"/>
        </patternFill>
      </fill>
    </dxf>
    <dxf>
      <numFmt numFmtId="27" formatCode="m/d/yyyy\ h:mm"/>
    </dxf>
    <dxf>
      <numFmt numFmtId="27" formatCode="m/d/yyyy\ h:mm"/>
    </dxf>
    <dxf>
      <fill>
        <patternFill patternType="solid">
          <fgColor indexed="64"/>
          <bgColor rgb="FFFFFF00"/>
        </patternFill>
      </fill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eph Zydlewski" id="{3E576626-655D-492B-9415-706F0B6F97A2}" userId="S::josephz@maine.edu::19634c9e-72f9-4cd3-8465-8c90b989ee1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96328-F43A-47E1-AA53-6638A7FB3DD2}" name="Table1" displayName="Table1" ref="A1:AR57" totalsRowShown="0" headerRowDxfId="3">
  <autoFilter ref="A1:AR57" xr:uid="{C1896328-F43A-47E1-AA53-6638A7FB3DD2}">
    <filterColumn colId="1">
      <filters>
        <filter val="SNS"/>
      </filters>
    </filterColumn>
    <filterColumn colId="20">
      <customFilters>
        <customFilter operator="notEqual" val=" "/>
      </customFilters>
    </filterColumn>
  </autoFilter>
  <sortState xmlns:xlrd2="http://schemas.microsoft.com/office/spreadsheetml/2017/richdata2" ref="A2:AR57">
    <sortCondition ref="B1:B57"/>
  </sortState>
  <tableColumns count="44">
    <tableColumn id="1" xr3:uid="{BE299BED-0F3E-42DE-9429-AB447CDF8091}" name="Event"/>
    <tableColumn id="2" xr3:uid="{61D7DA9B-07F5-472D-9FD1-1F8C540741D2}" name="Species"/>
    <tableColumn id="3" xr3:uid="{F49B494A-E9F3-4DD3-B21B-431B5E686415}" name="Rearing_Origin"/>
    <tableColumn id="4" xr3:uid="{550114AE-5C71-4B5A-8FE0-3043D6413F1D}" name="Stage"/>
    <tableColumn id="5" xr3:uid="{73DBCD67-BE3B-4735-B756-E69D1B345512}" name="System"/>
    <tableColumn id="6" xr3:uid="{AE8934E1-8512-4A98-8C11-6534A2B637A9}" name="Encounter_Time_zone"/>
    <tableColumn id="7" xr3:uid="{95A85A8D-263E-42C7-A5E8-204909EC1A14}" name="Encounter_Timestamp" dataDxfId="5"/>
    <tableColumn id="8" xr3:uid="{B45BA490-922A-4CF6-B74B-FF8559EF3243}" name="Encounter_Location"/>
    <tableColumn id="9" xr3:uid="{CA7472A3-55F0-4590-B781-1D003DB4A8E3}" name="Encounter_Easting"/>
    <tableColumn id="10" xr3:uid="{20A409CE-CD63-400A-B947-10AE37A0E4B0}" name="Encounter_Northing"/>
    <tableColumn id="11" xr3:uid="{5903C6AB-606E-4980-98B3-36D29C303071}" name="Encounter_UTMZone"/>
    <tableColumn id="12" xr3:uid="{8C4A41BF-FC6E-44B1-90D3-D440B6097381}" name="Encounter_Disposition"/>
    <tableColumn id="13" xr3:uid="{DF18C3B3-D4C4-4A52-8ECB-5DF057759F67}" name="Release_Status"/>
    <tableColumn id="14" xr3:uid="{BDAAF9FE-2F8B-49DE-AB0F-2AD5E741188E}" name="Release_Timezone"/>
    <tableColumn id="15" xr3:uid="{8EF42CD8-1FA3-4672-8212-E42AE67E93E2}" name="Release_Timestamp" dataDxfId="4"/>
    <tableColumn id="16" xr3:uid="{FEFD8C5F-4605-47A6-85F9-826BE0959411}" name="Release_Location"/>
    <tableColumn id="17" xr3:uid="{502C0EB7-FC1A-4180-9608-8043ED03F9A0}" name="Release_Easting"/>
    <tableColumn id="18" xr3:uid="{39338F20-DEBA-4A1D-875D-EF924F37E014}" name="Release_Northing"/>
    <tableColumn id="19" xr3:uid="{BB0D99B7-3A7F-44B3-9FCA-6FC5BB338D21}" name="TagType"/>
    <tableColumn id="20" xr3:uid="{32DF0E91-4FC2-4E53-B978-8FE8E914C332}" name="TagManufacturer"/>
    <tableColumn id="21" xr3:uid="{A76E7C44-D52A-49ED-B5CC-7D5943E938A1}" name="TagModel"/>
    <tableColumn id="22" xr3:uid="{69D7124D-10D3-4B3E-905B-F4E472924380}" name="TagSerialNumber"/>
    <tableColumn id="23" xr3:uid="{AD552068-6370-4E62-842C-C2FA61F68F06}" name="EstTagLife"/>
    <tableColumn id="24" xr3:uid="{119C67F2-47F1-4F91-92FA-1F6A1C12D396}" name="Acoustic_ID"/>
    <tableColumn id="25" xr3:uid="{03E1CDFC-5C66-436E-AA59-72C6CCF92740}" name="Acoustic_Sensor_type"/>
    <tableColumn id="26" xr3:uid="{73420751-90AA-49FB-B6D1-EE1E861CF437}" name="Acoustic_ Sensor_idcode"/>
    <tableColumn id="27" xr3:uid="{4A1023FA-7677-41E4-A276-3B01201971B7}" name="Acoustic_Sensor_value"/>
    <tableColumn id="28" xr3:uid="{1D7DE102-1D61-4196-86DF-32A5D49C2B9A}" name="PIT_ID"/>
    <tableColumn id="29" xr3:uid="{39DB08CA-1CCC-4247-AA43-1D643F9CB1B1}" name="Radio_ID"/>
    <tableColumn id="30" xr3:uid="{B6E1005E-72F3-42A0-B97C-3D9898FEC390}" name="Radio_Freq"/>
    <tableColumn id="31" xr3:uid="{3F1C523E-267F-478D-8FFA-EBB0663D7B29}" name="Radio_BurstRate"/>
    <tableColumn id="32" xr3:uid="{4FCD3859-45B4-4DD4-8504-4CF731C0AFD2}" name="External_TagID"/>
    <tableColumn id="33" xr3:uid="{C922CB42-4346-4FD7-8CB6-D8C722498D05}" name="Mark Observed"/>
    <tableColumn id="34" xr3:uid="{632E61D0-1061-4CB8-A0E9-4A68957A735C}" name="Mark Applied"/>
    <tableColumn id="35" xr3:uid="{6B0203CA-711E-442F-A632-3B224F617787}" name="VIE"/>
    <tableColumn id="36" xr3:uid="{09D187D7-E0B0-4AAA-B38D-782DBB6EBCD7}" name="ForkLength (cm)"/>
    <tableColumn id="37" xr3:uid="{EFA80088-1201-4D8B-B838-31AA66755B4D}" name="TotalLength (cm)"/>
    <tableColumn id="38" xr3:uid="{6D82B144-724D-49F6-99A6-88C6AFF481ED}" name="Mass (g)"/>
    <tableColumn id="39" xr3:uid="{08E0DCA4-D816-4B68-845C-4DD0C6CB6090}" name="Sex"/>
    <tableColumn id="40" xr3:uid="{197A9DB7-FA26-4F4A-92C4-B30F5896A5BE}" name="STRG_Interorbital(mm)"/>
    <tableColumn id="41" xr3:uid="{666423B5-9D8A-4414-91F0-0FB30C7E2928}" name="STRG_InsideMouth(mm)"/>
    <tableColumn id="42" xr3:uid="{A3276A3A-EA3D-4D23-A4B5-2F4AAB47875D}" name="STRG_OutsideMouth(mm)"/>
    <tableColumn id="43" xr3:uid="{F9B71DA7-031B-4B99-983C-80D77A6C4387}" name="Notes"/>
    <tableColumn id="44" xr3:uid="{619F2748-E233-4DA5-B1D2-F711D40806FA}" name="Operator(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E88619-3BB2-496F-BB2B-F16A7FCAE131}" name="Table3" displayName="Table3" ref="A1:AU8" totalsRowShown="0" headerRowDxfId="0">
  <autoFilter ref="A1:AU8" xr:uid="{52E88619-3BB2-496F-BB2B-F16A7FCAE131}">
    <filterColumn colId="1">
      <filters>
        <filter val="SNS"/>
      </filters>
    </filterColumn>
    <filterColumn colId="23">
      <customFilters>
        <customFilter operator="notEqual" val=" "/>
      </customFilters>
    </filterColumn>
  </autoFilter>
  <tableColumns count="47">
    <tableColumn id="1" xr3:uid="{B76C032E-9005-49C3-AE38-1D2DEFD7EAD5}" name="Event"/>
    <tableColumn id="2" xr3:uid="{78A843AB-BD02-4F1B-9D13-2B03C99B83C6}" name="Species"/>
    <tableColumn id="3" xr3:uid="{4CD95684-3D49-427F-A0EA-CDF9E274D18E}" name="Rearing_Origin"/>
    <tableColumn id="4" xr3:uid="{FFAEA9AD-77D3-4765-B244-4B748BF5DEA0}" name="Stage"/>
    <tableColumn id="5" xr3:uid="{58172F8A-D30F-44AD-BCFA-0E32346FDE59}" name="System"/>
    <tableColumn id="6" xr3:uid="{349C8FE6-86E5-4E80-9AD9-894B0C42B7B5}" name="Encounter_Time_zone"/>
    <tableColumn id="7" xr3:uid="{D2ACE8F1-4A15-417D-B39F-E1825FE8608E}" name="Encounter_Timestamp" dataDxfId="2"/>
    <tableColumn id="8" xr3:uid="{B05303B3-7A2B-4B6C-AF18-DF4D1F62D3CA}" name="Encounter_Location"/>
    <tableColumn id="9" xr3:uid="{2A44F41B-B384-49BC-AA44-4544E1B9F709}" name="Encounter_Easting"/>
    <tableColumn id="10" xr3:uid="{64D7F612-DB6F-45CA-BC3A-7B711B3008C9}" name="Encounter_Northing"/>
    <tableColumn id="11" xr3:uid="{A055343B-5FCB-4993-97CF-C9F5D101455C}" name="Encounter_UTMZone"/>
    <tableColumn id="12" xr3:uid="{A0D8E8AA-2554-45EF-B3EE-B18908829285}" name="Encounter_Disposition"/>
    <tableColumn id="13" xr3:uid="{986886F9-5D2C-4A9F-877B-2BEE8E8740FB}" name="Release_Status"/>
    <tableColumn id="14" xr3:uid="{E6261EF3-AE24-4734-BC38-26F07CAA8A2A}" name="Release_Timezone"/>
    <tableColumn id="15" xr3:uid="{CA85707B-3E05-422E-99C5-14B9F7D56764}" name="Release_Timestamp" dataDxfId="1"/>
    <tableColumn id="16" xr3:uid="{7D12DC8C-CF43-4D62-B20D-E1AC9C7B4338}" name="Release_Location"/>
    <tableColumn id="17" xr3:uid="{3C93D908-9E23-40BA-BFBD-25D1B74EEBEC}" name="Release_Easting"/>
    <tableColumn id="18" xr3:uid="{87A79837-FED0-4838-BA7A-F3A4A870EFDC}" name="Release_Northing"/>
    <tableColumn id="19" xr3:uid="{EFD67A5B-47FD-4D8E-9872-D8E0E452F1F0}" name="Observed_Acoustic_ID"/>
    <tableColumn id="20" xr3:uid="{FB376238-BDAC-4A90-99E1-F5CF4B776A86}" name="Observed_PIT_ID"/>
    <tableColumn id="21" xr3:uid="{ACBA4681-8B55-453F-8B51-C019657E8E1B}" name="Observed_Radio_ID"/>
    <tableColumn id="22" xr3:uid="{17DE01AE-1F59-4385-B97A-B13272466587}" name="Observed_External_TagID"/>
    <tableColumn id="23" xr3:uid="{2B1E6F53-77AD-411E-A963-3DB1E33B6A42}" name="TagType"/>
    <tableColumn id="24" xr3:uid="{F6877910-CBA4-4D4A-AB3C-E43FAB1E3DDE}" name="TagManufacturer"/>
    <tableColumn id="25" xr3:uid="{376B1EC2-39A7-4724-AA03-D60734A2B221}" name="TagModel"/>
    <tableColumn id="26" xr3:uid="{F6B9CDAB-71C0-4D91-95A1-31A3079960EB}" name="TagSerialNumber"/>
    <tableColumn id="27" xr3:uid="{1ABA77AE-EC9A-436F-A430-99A234511F12}" name="EstTagLife"/>
    <tableColumn id="28" xr3:uid="{63FD704A-06C8-410B-9203-78BE649B722C}" name="Acoustic_ID"/>
    <tableColumn id="29" xr3:uid="{3530E63C-6FAD-4AF3-8445-EB0ECD9DC348}" name="Acoustic_Sensor_type"/>
    <tableColumn id="30" xr3:uid="{3E5C70BE-E6F4-4286-BABB-1172D04B9266}" name="Acoustic_ Sensor_idcode"/>
    <tableColumn id="31" xr3:uid="{672B76C9-C153-4D3A-B864-2D9C35125AC0}" name="Acoustic_Sensor_value"/>
    <tableColumn id="32" xr3:uid="{78084CE0-6DDD-42DA-894C-051349C14BCE}" name="PIT_ID"/>
    <tableColumn id="33" xr3:uid="{1387316F-D4AD-46FD-B44D-98F14AB0A170}" name="Radio_ID"/>
    <tableColumn id="34" xr3:uid="{818860DE-83C4-4F4B-BC9B-04E878452E61}" name="Radio_Freq"/>
    <tableColumn id="35" xr3:uid="{DD1C0800-D503-45C8-8ED1-5BEA876B4D27}" name="External_TagID"/>
    <tableColumn id="36" xr3:uid="{3340BCB6-DE00-464A-A5A9-8D49D00A690C}" name="Clip1"/>
    <tableColumn id="37" xr3:uid="{6D07C023-5045-42E0-A19F-57DB2EF11AAC}" name="Clip2"/>
    <tableColumn id="38" xr3:uid="{EA605747-B6BD-4962-88A6-98BFB93F6E89}" name="VIE"/>
    <tableColumn id="39" xr3:uid="{11235F10-54CA-4F94-B325-0E0F1AA7205D}" name="ForkLength (cm)"/>
    <tableColumn id="40" xr3:uid="{97457E1C-7D83-4A53-BA51-B5BD91935C00}" name="TotalLength (cm)"/>
    <tableColumn id="41" xr3:uid="{FB0E9E98-681C-4462-A028-9D64E687C875}" name="Mass (g)"/>
    <tableColumn id="42" xr3:uid="{1AF71A44-B5C2-4A9B-B924-47AAC573450C}" name="Sex"/>
    <tableColumn id="43" xr3:uid="{E47C854B-0184-46FC-B6C9-B6F0096FAC72}" name="STRG_Interorbital(mm)"/>
    <tableColumn id="44" xr3:uid="{5B49104F-C52D-451E-9143-2350E28AEBB7}" name="STRG_InsideMouth(mm)"/>
    <tableColumn id="45" xr3:uid="{B6BE103F-67A0-430E-8A88-6E6E1495C634}" name="STRG_OutsideMouth(mm)"/>
    <tableColumn id="46" xr3:uid="{2857D53C-F6DE-405D-A517-BA6B30EBD136}" name="Notes"/>
    <tableColumn id="47" xr3:uid="{38B185B6-72C2-486B-BED9-87B467982B0F}" name="Operator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6-23T19:28:48.61" personId="{3E576626-655D-492B-9415-706F0B6F97A2}" id="{A9FBDE61-374C-4F89-B54E-D7F8CE153835}">
    <text>mandatory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1" dT="2025-06-23T20:48:17.64" personId="{3E576626-655D-492B-9415-706F0B6F97A2}" id="{747A2A2B-E70D-4DD5-9E8C-04968B466238}">
    <text>Optional/remove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7" dT="2024-08-12T20:39:17.41" personId="{3E576626-655D-492B-9415-706F0B6F97A2}" id="{F54DE2DC-8337-4D20-97D0-BE7ABDC89A00}">
    <text xml:space="preserve">Release information may be handled as a second data line if different from capture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54DC-EBEB-4696-969D-5912A641919D}">
  <dimension ref="A1:AR203"/>
  <sheetViews>
    <sheetView workbookViewId="0">
      <selection activeCell="G72" sqref="G72"/>
    </sheetView>
  </sheetViews>
  <sheetFormatPr defaultColWidth="8.81640625" defaultRowHeight="14.5"/>
  <cols>
    <col min="1" max="1" width="14.453125" customWidth="1"/>
    <col min="2" max="2" width="8.90625" customWidth="1"/>
    <col min="3" max="3" width="15.08984375" customWidth="1"/>
    <col min="4" max="4" width="7.36328125" customWidth="1"/>
    <col min="5" max="5" width="14.26953125" customWidth="1"/>
    <col min="6" max="6" width="21.54296875" customWidth="1"/>
    <col min="7" max="7" width="26.453125" style="70" bestFit="1" customWidth="1"/>
    <col min="8" max="8" width="19.54296875" customWidth="1"/>
    <col min="9" max="9" width="18.453125" customWidth="1"/>
    <col min="10" max="10" width="19.81640625" customWidth="1"/>
    <col min="11" max="11" width="20.6328125" customWidth="1"/>
    <col min="12" max="12" width="21.81640625" customWidth="1"/>
    <col min="13" max="13" width="15.453125" customWidth="1"/>
    <col min="14" max="14" width="18.26953125" customWidth="1"/>
    <col min="15" max="15" width="19.54296875" customWidth="1"/>
    <col min="16" max="16" width="17.26953125" customWidth="1"/>
    <col min="17" max="17" width="16.1796875" customWidth="1"/>
    <col min="18" max="18" width="17.54296875" customWidth="1"/>
    <col min="19" max="23" width="18.26953125" customWidth="1"/>
    <col min="24" max="24" width="19.26953125" customWidth="1"/>
    <col min="25" max="25" width="22.1796875" customWidth="1"/>
    <col min="26" max="26" width="23.453125" customWidth="1"/>
    <col min="27" max="27" width="22.1796875" bestFit="1" customWidth="1"/>
    <col min="28" max="28" width="14.453125" customWidth="1"/>
    <col min="29" max="29" width="10.36328125" customWidth="1"/>
    <col min="30" max="30" width="12.26953125" customWidth="1"/>
    <col min="31" max="31" width="18.1796875" customWidth="1"/>
    <col min="32" max="32" width="15.453125" customWidth="1"/>
    <col min="33" max="33" width="15.7265625" customWidth="1"/>
    <col min="34" max="34" width="14.08984375" customWidth="1"/>
    <col min="35" max="35" width="6" customWidth="1"/>
    <col min="36" max="36" width="16.36328125" customWidth="1"/>
    <col min="37" max="37" width="16.90625" customWidth="1"/>
    <col min="38" max="38" width="9.81640625" customWidth="1"/>
    <col min="39" max="39" width="10.453125" customWidth="1"/>
    <col min="40" max="40" width="22.26953125" customWidth="1"/>
    <col min="41" max="41" width="23.36328125" customWidth="1"/>
    <col min="42" max="42" width="24.90625" customWidth="1"/>
    <col min="43" max="43" width="17.1796875" customWidth="1"/>
    <col min="44" max="44" width="12.6328125" customWidth="1"/>
  </cols>
  <sheetData>
    <row r="1" spans="1:44" ht="15" thickBot="1">
      <c r="A1" s="52" t="s">
        <v>262</v>
      </c>
      <c r="B1" s="53" t="s">
        <v>5</v>
      </c>
      <c r="C1" s="53" t="s">
        <v>254</v>
      </c>
      <c r="D1" s="54" t="s">
        <v>18</v>
      </c>
      <c r="E1" s="53" t="s">
        <v>57</v>
      </c>
      <c r="F1" s="55" t="s">
        <v>209</v>
      </c>
      <c r="G1" s="69" t="s">
        <v>253</v>
      </c>
      <c r="H1" s="56" t="s">
        <v>211</v>
      </c>
      <c r="I1" s="56" t="s">
        <v>212</v>
      </c>
      <c r="J1" s="56" t="s">
        <v>213</v>
      </c>
      <c r="K1" s="57" t="s">
        <v>214</v>
      </c>
      <c r="L1" s="68" t="s">
        <v>215</v>
      </c>
      <c r="M1" s="59" t="s">
        <v>219</v>
      </c>
      <c r="N1" s="60" t="s">
        <v>117</v>
      </c>
      <c r="O1" s="60" t="s">
        <v>111</v>
      </c>
      <c r="P1" s="60" t="s">
        <v>118</v>
      </c>
      <c r="Q1" s="60" t="s">
        <v>21</v>
      </c>
      <c r="R1" s="61" t="s">
        <v>22</v>
      </c>
      <c r="S1" s="62" t="s">
        <v>3</v>
      </c>
      <c r="T1" s="62" t="s">
        <v>276</v>
      </c>
      <c r="U1" s="62" t="s">
        <v>277</v>
      </c>
      <c r="V1" s="62" t="s">
        <v>278</v>
      </c>
      <c r="W1" s="62" t="s">
        <v>297</v>
      </c>
      <c r="X1" s="63" t="s">
        <v>263</v>
      </c>
      <c r="Y1" s="63" t="s">
        <v>295</v>
      </c>
      <c r="Z1" s="63" t="s">
        <v>274</v>
      </c>
      <c r="AA1" s="63" t="s">
        <v>264</v>
      </c>
      <c r="AB1" s="63" t="s">
        <v>120</v>
      </c>
      <c r="AC1" s="64" t="s">
        <v>122</v>
      </c>
      <c r="AD1" s="63" t="s">
        <v>124</v>
      </c>
      <c r="AE1" s="63" t="s">
        <v>285</v>
      </c>
      <c r="AF1" s="65" t="s">
        <v>24</v>
      </c>
      <c r="AG1" s="63" t="s">
        <v>308</v>
      </c>
      <c r="AH1" s="63" t="s">
        <v>309</v>
      </c>
      <c r="AI1" s="63" t="s">
        <v>25</v>
      </c>
      <c r="AJ1" s="66" t="s">
        <v>130</v>
      </c>
      <c r="AK1" s="66" t="s">
        <v>188</v>
      </c>
      <c r="AL1" s="66" t="s">
        <v>132</v>
      </c>
      <c r="AM1" s="66" t="s">
        <v>29</v>
      </c>
      <c r="AN1" s="66" t="s">
        <v>250</v>
      </c>
      <c r="AO1" s="66" t="s">
        <v>251</v>
      </c>
      <c r="AP1" s="66" t="s">
        <v>252</v>
      </c>
      <c r="AQ1" s="67" t="s">
        <v>23</v>
      </c>
      <c r="AR1" s="67" t="s">
        <v>265</v>
      </c>
    </row>
    <row r="2" spans="1:44" hidden="1">
      <c r="A2" t="s">
        <v>266</v>
      </c>
      <c r="B2" t="s">
        <v>8</v>
      </c>
      <c r="C2" t="s">
        <v>315</v>
      </c>
      <c r="E2" t="s">
        <v>100</v>
      </c>
      <c r="F2" t="s">
        <v>182</v>
      </c>
      <c r="G2" s="93">
        <v>45867</v>
      </c>
      <c r="H2" t="s">
        <v>316</v>
      </c>
      <c r="I2">
        <v>438716</v>
      </c>
      <c r="J2">
        <v>4899033</v>
      </c>
      <c r="K2">
        <v>19</v>
      </c>
      <c r="L2" t="s">
        <v>207</v>
      </c>
      <c r="M2" t="s">
        <v>204</v>
      </c>
      <c r="N2" t="s">
        <v>182</v>
      </c>
      <c r="O2" s="93">
        <v>45867</v>
      </c>
      <c r="P2" t="s">
        <v>316</v>
      </c>
      <c r="Q2">
        <v>438716</v>
      </c>
      <c r="R2">
        <v>4899033</v>
      </c>
      <c r="S2" t="s">
        <v>298</v>
      </c>
      <c r="T2" t="s">
        <v>317</v>
      </c>
      <c r="U2" t="s">
        <v>318</v>
      </c>
      <c r="V2">
        <v>1638361</v>
      </c>
      <c r="W2">
        <v>2560</v>
      </c>
      <c r="X2" t="s">
        <v>319</v>
      </c>
      <c r="AB2" t="s">
        <v>320</v>
      </c>
      <c r="AG2" t="s">
        <v>169</v>
      </c>
      <c r="AH2" t="s">
        <v>169</v>
      </c>
      <c r="AI2" t="s">
        <v>169</v>
      </c>
      <c r="AJ2">
        <v>138</v>
      </c>
      <c r="AK2">
        <v>158</v>
      </c>
      <c r="AM2" t="s">
        <v>134</v>
      </c>
      <c r="AN2">
        <v>102</v>
      </c>
      <c r="AO2">
        <v>33.700000000000003</v>
      </c>
      <c r="AP2">
        <v>61</v>
      </c>
      <c r="AR2" t="s">
        <v>321</v>
      </c>
    </row>
    <row r="3" spans="1:44" hidden="1">
      <c r="A3" t="s">
        <v>266</v>
      </c>
      <c r="B3" t="s">
        <v>8</v>
      </c>
      <c r="C3" t="s">
        <v>315</v>
      </c>
      <c r="E3" t="s">
        <v>100</v>
      </c>
      <c r="F3" t="s">
        <v>182</v>
      </c>
      <c r="G3" s="93">
        <v>45867</v>
      </c>
      <c r="H3" t="s">
        <v>316</v>
      </c>
      <c r="I3">
        <v>438716</v>
      </c>
      <c r="J3">
        <v>4899033</v>
      </c>
      <c r="K3">
        <v>19</v>
      </c>
      <c r="L3" t="s">
        <v>207</v>
      </c>
      <c r="M3" t="s">
        <v>204</v>
      </c>
      <c r="N3" t="s">
        <v>182</v>
      </c>
      <c r="O3" s="93">
        <v>45867</v>
      </c>
      <c r="P3" t="s">
        <v>316</v>
      </c>
      <c r="Q3">
        <v>438716</v>
      </c>
      <c r="R3">
        <v>4899033</v>
      </c>
      <c r="S3" t="s">
        <v>298</v>
      </c>
      <c r="T3" t="s">
        <v>317</v>
      </c>
      <c r="U3" t="s">
        <v>318</v>
      </c>
      <c r="V3">
        <v>1638355</v>
      </c>
      <c r="W3">
        <v>2560</v>
      </c>
      <c r="X3" t="s">
        <v>322</v>
      </c>
      <c r="AB3" t="s">
        <v>323</v>
      </c>
      <c r="AG3" t="s">
        <v>169</v>
      </c>
      <c r="AH3" t="s">
        <v>169</v>
      </c>
      <c r="AI3" t="s">
        <v>169</v>
      </c>
      <c r="AJ3">
        <v>156</v>
      </c>
      <c r="AK3">
        <v>179</v>
      </c>
      <c r="AM3" t="s">
        <v>134</v>
      </c>
      <c r="AN3">
        <v>138</v>
      </c>
      <c r="AO3">
        <v>61</v>
      </c>
      <c r="AP3">
        <v>101</v>
      </c>
      <c r="AR3" t="s">
        <v>321</v>
      </c>
    </row>
    <row r="4" spans="1:44" hidden="1">
      <c r="A4" t="s">
        <v>266</v>
      </c>
      <c r="B4" t="s">
        <v>8</v>
      </c>
      <c r="C4" t="s">
        <v>315</v>
      </c>
      <c r="E4" t="s">
        <v>100</v>
      </c>
      <c r="F4" t="s">
        <v>182</v>
      </c>
      <c r="G4" s="93">
        <v>45867</v>
      </c>
      <c r="H4" t="s">
        <v>316</v>
      </c>
      <c r="I4">
        <v>438716</v>
      </c>
      <c r="J4">
        <v>4899033</v>
      </c>
      <c r="K4">
        <v>19</v>
      </c>
      <c r="L4" t="s">
        <v>207</v>
      </c>
      <c r="M4" t="s">
        <v>204</v>
      </c>
      <c r="N4" t="s">
        <v>182</v>
      </c>
      <c r="O4" s="93">
        <v>45867</v>
      </c>
      <c r="P4" t="s">
        <v>316</v>
      </c>
      <c r="Q4">
        <v>438716</v>
      </c>
      <c r="R4">
        <v>4899033</v>
      </c>
      <c r="S4" t="s">
        <v>298</v>
      </c>
      <c r="T4" t="s">
        <v>317</v>
      </c>
      <c r="U4" t="s">
        <v>318</v>
      </c>
      <c r="V4">
        <v>1638362</v>
      </c>
      <c r="W4">
        <v>2560</v>
      </c>
      <c r="X4" t="s">
        <v>324</v>
      </c>
      <c r="AB4" t="s">
        <v>325</v>
      </c>
      <c r="AG4" t="s">
        <v>169</v>
      </c>
      <c r="AH4" t="s">
        <v>169</v>
      </c>
      <c r="AI4" t="s">
        <v>169</v>
      </c>
      <c r="AJ4">
        <v>116</v>
      </c>
      <c r="AK4">
        <v>179</v>
      </c>
      <c r="AM4" t="s">
        <v>134</v>
      </c>
      <c r="AN4">
        <v>138</v>
      </c>
      <c r="AO4">
        <v>41.6</v>
      </c>
      <c r="AP4">
        <v>71.3</v>
      </c>
      <c r="AR4" t="s">
        <v>321</v>
      </c>
    </row>
    <row r="5" spans="1:44" hidden="1">
      <c r="A5" t="s">
        <v>266</v>
      </c>
      <c r="B5" t="s">
        <v>8</v>
      </c>
      <c r="C5" t="s">
        <v>315</v>
      </c>
      <c r="E5" t="s">
        <v>100</v>
      </c>
      <c r="F5" t="s">
        <v>182</v>
      </c>
      <c r="G5" s="93">
        <v>45867</v>
      </c>
      <c r="H5" t="s">
        <v>316</v>
      </c>
      <c r="I5">
        <v>438716</v>
      </c>
      <c r="J5">
        <v>4899033</v>
      </c>
      <c r="K5">
        <v>19</v>
      </c>
      <c r="L5" t="s">
        <v>207</v>
      </c>
      <c r="M5" t="s">
        <v>204</v>
      </c>
      <c r="N5" t="s">
        <v>182</v>
      </c>
      <c r="O5" s="93">
        <v>45867</v>
      </c>
      <c r="P5" t="s">
        <v>316</v>
      </c>
      <c r="Q5">
        <v>438716</v>
      </c>
      <c r="R5">
        <v>4899033</v>
      </c>
      <c r="S5" t="s">
        <v>298</v>
      </c>
      <c r="T5" t="s">
        <v>317</v>
      </c>
      <c r="U5" t="s">
        <v>318</v>
      </c>
      <c r="V5">
        <v>1638356</v>
      </c>
      <c r="W5">
        <v>2560</v>
      </c>
      <c r="X5" t="s">
        <v>326</v>
      </c>
      <c r="AB5" t="s">
        <v>327</v>
      </c>
      <c r="AG5" t="s">
        <v>169</v>
      </c>
      <c r="AH5" t="s">
        <v>169</v>
      </c>
      <c r="AI5" t="s">
        <v>169</v>
      </c>
      <c r="AJ5">
        <v>174.2</v>
      </c>
      <c r="AK5">
        <v>194.7</v>
      </c>
      <c r="AM5" t="s">
        <v>134</v>
      </c>
      <c r="AO5">
        <v>53</v>
      </c>
      <c r="AP5">
        <v>87</v>
      </c>
      <c r="AR5" t="s">
        <v>321</v>
      </c>
    </row>
    <row r="6" spans="1:44" hidden="1">
      <c r="A6" t="s">
        <v>266</v>
      </c>
      <c r="B6" t="s">
        <v>8</v>
      </c>
      <c r="C6" t="s">
        <v>315</v>
      </c>
      <c r="E6" t="s">
        <v>100</v>
      </c>
      <c r="F6" t="s">
        <v>182</v>
      </c>
      <c r="G6" s="93">
        <v>45867</v>
      </c>
      <c r="H6" t="s">
        <v>316</v>
      </c>
      <c r="I6">
        <v>438716</v>
      </c>
      <c r="J6">
        <v>4899033</v>
      </c>
      <c r="K6">
        <v>19</v>
      </c>
      <c r="L6" t="s">
        <v>207</v>
      </c>
      <c r="M6" t="s">
        <v>204</v>
      </c>
      <c r="N6" t="s">
        <v>182</v>
      </c>
      <c r="O6" s="93">
        <v>45867</v>
      </c>
      <c r="P6" t="s">
        <v>316</v>
      </c>
      <c r="Q6">
        <v>438716</v>
      </c>
      <c r="R6">
        <v>4899033</v>
      </c>
      <c r="S6" t="s">
        <v>298</v>
      </c>
      <c r="T6" t="s">
        <v>317</v>
      </c>
      <c r="U6" t="s">
        <v>318</v>
      </c>
      <c r="V6">
        <v>1638359</v>
      </c>
      <c r="W6">
        <v>2560</v>
      </c>
      <c r="X6" t="s">
        <v>328</v>
      </c>
      <c r="AB6" t="s">
        <v>329</v>
      </c>
      <c r="AG6" t="s">
        <v>169</v>
      </c>
      <c r="AH6" t="s">
        <v>169</v>
      </c>
      <c r="AI6" t="s">
        <v>169</v>
      </c>
      <c r="AJ6">
        <v>156.30000000000001</v>
      </c>
      <c r="AK6">
        <v>177.9</v>
      </c>
      <c r="AM6" t="s">
        <v>134</v>
      </c>
      <c r="AN6">
        <v>127.37</v>
      </c>
      <c r="AO6">
        <v>56.91</v>
      </c>
      <c r="AP6">
        <v>89.37</v>
      </c>
      <c r="AR6" t="s">
        <v>321</v>
      </c>
    </row>
    <row r="7" spans="1:44" hidden="1">
      <c r="A7" t="s">
        <v>266</v>
      </c>
      <c r="B7" t="s">
        <v>8</v>
      </c>
      <c r="C7" t="s">
        <v>315</v>
      </c>
      <c r="E7" t="s">
        <v>100</v>
      </c>
      <c r="F7" t="s">
        <v>182</v>
      </c>
      <c r="G7" s="93">
        <v>45867</v>
      </c>
      <c r="H7" t="s">
        <v>316</v>
      </c>
      <c r="I7">
        <v>438716</v>
      </c>
      <c r="J7">
        <v>4899033</v>
      </c>
      <c r="K7">
        <v>19</v>
      </c>
      <c r="L7" t="s">
        <v>207</v>
      </c>
      <c r="M7" t="s">
        <v>204</v>
      </c>
      <c r="N7" t="s">
        <v>182</v>
      </c>
      <c r="O7" s="93">
        <v>45867</v>
      </c>
      <c r="P7" t="s">
        <v>316</v>
      </c>
      <c r="Q7">
        <v>438716</v>
      </c>
      <c r="R7">
        <v>4899033</v>
      </c>
      <c r="S7" t="s">
        <v>298</v>
      </c>
      <c r="T7" t="s">
        <v>317</v>
      </c>
      <c r="U7" t="s">
        <v>318</v>
      </c>
      <c r="V7">
        <v>1638358</v>
      </c>
      <c r="W7">
        <v>2560</v>
      </c>
      <c r="X7" t="s">
        <v>330</v>
      </c>
      <c r="AB7" t="s">
        <v>331</v>
      </c>
      <c r="AG7" t="s">
        <v>169</v>
      </c>
      <c r="AH7" t="s">
        <v>169</v>
      </c>
      <c r="AI7" t="s">
        <v>169</v>
      </c>
      <c r="AJ7">
        <v>134</v>
      </c>
      <c r="AK7">
        <v>149.5</v>
      </c>
      <c r="AM7" t="s">
        <v>134</v>
      </c>
      <c r="AN7">
        <v>110.5</v>
      </c>
      <c r="AO7">
        <v>48.8</v>
      </c>
      <c r="AP7">
        <v>75.099999999999994</v>
      </c>
      <c r="AR7" t="s">
        <v>321</v>
      </c>
    </row>
    <row r="8" spans="1:44" hidden="1">
      <c r="A8" t="s">
        <v>266</v>
      </c>
      <c r="B8" t="s">
        <v>8</v>
      </c>
      <c r="C8" t="s">
        <v>315</v>
      </c>
      <c r="E8" t="s">
        <v>100</v>
      </c>
      <c r="F8" t="s">
        <v>182</v>
      </c>
      <c r="G8" s="93">
        <v>45867</v>
      </c>
      <c r="H8" t="s">
        <v>316</v>
      </c>
      <c r="I8">
        <v>438716</v>
      </c>
      <c r="J8">
        <v>4899033</v>
      </c>
      <c r="K8">
        <v>19</v>
      </c>
      <c r="L8" t="s">
        <v>207</v>
      </c>
      <c r="M8" t="s">
        <v>204</v>
      </c>
      <c r="N8" t="s">
        <v>182</v>
      </c>
      <c r="O8" s="93">
        <v>45867</v>
      </c>
      <c r="P8" t="s">
        <v>316</v>
      </c>
      <c r="Q8">
        <v>438716</v>
      </c>
      <c r="R8">
        <v>4899033</v>
      </c>
      <c r="S8" t="s">
        <v>298</v>
      </c>
      <c r="T8" t="s">
        <v>317</v>
      </c>
      <c r="U8" t="s">
        <v>318</v>
      </c>
      <c r="V8">
        <v>1638360</v>
      </c>
      <c r="W8">
        <v>2560</v>
      </c>
      <c r="X8" t="s">
        <v>332</v>
      </c>
      <c r="AB8" t="s">
        <v>333</v>
      </c>
      <c r="AG8" t="s">
        <v>169</v>
      </c>
      <c r="AH8" t="s">
        <v>169</v>
      </c>
      <c r="AI8" t="s">
        <v>169</v>
      </c>
      <c r="AJ8">
        <v>149.30000000000001</v>
      </c>
      <c r="AK8">
        <v>173.1</v>
      </c>
      <c r="AM8" t="s">
        <v>134</v>
      </c>
      <c r="AN8">
        <v>127.6</v>
      </c>
      <c r="AO8">
        <v>46.98</v>
      </c>
      <c r="AP8">
        <v>71.95</v>
      </c>
      <c r="AR8" t="s">
        <v>321</v>
      </c>
    </row>
    <row r="9" spans="1:44" hidden="1">
      <c r="A9" t="s">
        <v>266</v>
      </c>
      <c r="B9" t="s">
        <v>8</v>
      </c>
      <c r="C9" t="s">
        <v>315</v>
      </c>
      <c r="E9" t="s">
        <v>100</v>
      </c>
      <c r="F9" t="s">
        <v>182</v>
      </c>
      <c r="G9" s="93">
        <v>45867</v>
      </c>
      <c r="H9" t="s">
        <v>316</v>
      </c>
      <c r="I9">
        <v>438716</v>
      </c>
      <c r="J9">
        <v>4899033</v>
      </c>
      <c r="K9">
        <v>19</v>
      </c>
      <c r="L9" t="s">
        <v>207</v>
      </c>
      <c r="M9" t="s">
        <v>204</v>
      </c>
      <c r="N9" t="s">
        <v>182</v>
      </c>
      <c r="O9" s="93">
        <v>45867</v>
      </c>
      <c r="P9" t="s">
        <v>316</v>
      </c>
      <c r="Q9">
        <v>438716</v>
      </c>
      <c r="R9">
        <v>4899033</v>
      </c>
      <c r="S9" t="s">
        <v>298</v>
      </c>
      <c r="T9" t="s">
        <v>317</v>
      </c>
      <c r="U9" t="s">
        <v>318</v>
      </c>
      <c r="V9">
        <v>1645258</v>
      </c>
      <c r="W9">
        <v>2560</v>
      </c>
      <c r="X9" t="s">
        <v>334</v>
      </c>
      <c r="AB9" t="s">
        <v>335</v>
      </c>
      <c r="AG9" t="s">
        <v>169</v>
      </c>
      <c r="AH9" t="s">
        <v>169</v>
      </c>
      <c r="AI9" t="s">
        <v>169</v>
      </c>
      <c r="AJ9">
        <v>147</v>
      </c>
      <c r="AK9">
        <v>170</v>
      </c>
      <c r="AM9" t="s">
        <v>220</v>
      </c>
      <c r="AN9">
        <v>117.37</v>
      </c>
      <c r="AO9">
        <v>50.15</v>
      </c>
      <c r="AP9">
        <v>71.64</v>
      </c>
      <c r="AQ9" t="s">
        <v>336</v>
      </c>
      <c r="AR9" t="s">
        <v>321</v>
      </c>
    </row>
    <row r="10" spans="1:44" hidden="1">
      <c r="A10" t="s">
        <v>266</v>
      </c>
      <c r="B10" t="s">
        <v>8</v>
      </c>
      <c r="C10" t="s">
        <v>315</v>
      </c>
      <c r="E10" t="s">
        <v>100</v>
      </c>
      <c r="F10" t="s">
        <v>182</v>
      </c>
      <c r="G10" s="93">
        <v>45867</v>
      </c>
      <c r="H10" t="s">
        <v>316</v>
      </c>
      <c r="I10">
        <v>438716</v>
      </c>
      <c r="J10">
        <v>4899033</v>
      </c>
      <c r="K10">
        <v>19</v>
      </c>
      <c r="L10" t="s">
        <v>207</v>
      </c>
      <c r="M10" t="s">
        <v>204</v>
      </c>
      <c r="N10" t="s">
        <v>182</v>
      </c>
      <c r="O10" s="93">
        <v>45867</v>
      </c>
      <c r="P10" t="s">
        <v>316</v>
      </c>
      <c r="Q10">
        <v>438716</v>
      </c>
      <c r="R10">
        <v>4899033</v>
      </c>
      <c r="S10" t="s">
        <v>298</v>
      </c>
      <c r="T10" t="s">
        <v>317</v>
      </c>
      <c r="U10" t="s">
        <v>318</v>
      </c>
      <c r="V10">
        <v>1645261</v>
      </c>
      <c r="W10">
        <v>2560</v>
      </c>
      <c r="X10" t="s">
        <v>337</v>
      </c>
      <c r="AB10" t="s">
        <v>338</v>
      </c>
      <c r="AG10" t="s">
        <v>169</v>
      </c>
      <c r="AH10" t="s">
        <v>169</v>
      </c>
      <c r="AI10" t="s">
        <v>169</v>
      </c>
      <c r="AJ10">
        <v>143.4</v>
      </c>
      <c r="AK10">
        <v>166</v>
      </c>
      <c r="AM10" t="s">
        <v>220</v>
      </c>
      <c r="AN10">
        <v>117.2</v>
      </c>
      <c r="AO10">
        <v>55.6</v>
      </c>
      <c r="AP10">
        <v>71.2</v>
      </c>
      <c r="AQ10" t="s">
        <v>336</v>
      </c>
      <c r="AR10" t="s">
        <v>321</v>
      </c>
    </row>
    <row r="11" spans="1:44" hidden="1">
      <c r="A11" t="s">
        <v>266</v>
      </c>
      <c r="B11" t="s">
        <v>8</v>
      </c>
      <c r="C11" t="s">
        <v>315</v>
      </c>
      <c r="E11" t="s">
        <v>103</v>
      </c>
      <c r="F11" t="s">
        <v>182</v>
      </c>
      <c r="G11" s="93">
        <v>45874</v>
      </c>
      <c r="H11" t="s">
        <v>370</v>
      </c>
      <c r="I11">
        <v>514494</v>
      </c>
      <c r="J11">
        <v>4948116</v>
      </c>
      <c r="K11">
        <v>19</v>
      </c>
      <c r="L11" t="s">
        <v>207</v>
      </c>
      <c r="M11" t="s">
        <v>204</v>
      </c>
      <c r="N11" t="s">
        <v>182</v>
      </c>
      <c r="O11" s="93">
        <v>45874</v>
      </c>
      <c r="P11" t="s">
        <v>370</v>
      </c>
      <c r="Q11">
        <v>514494</v>
      </c>
      <c r="R11">
        <v>4948116</v>
      </c>
      <c r="S11" t="s">
        <v>298</v>
      </c>
      <c r="T11" t="s">
        <v>317</v>
      </c>
      <c r="U11" t="s">
        <v>318</v>
      </c>
      <c r="V11">
        <v>1645292</v>
      </c>
      <c r="W11">
        <v>2560</v>
      </c>
      <c r="X11" t="s">
        <v>377</v>
      </c>
      <c r="AB11" t="s">
        <v>378</v>
      </c>
      <c r="AG11" t="s">
        <v>169</v>
      </c>
      <c r="AH11" t="s">
        <v>169</v>
      </c>
      <c r="AI11" t="s">
        <v>169</v>
      </c>
      <c r="AJ11">
        <v>94.4</v>
      </c>
      <c r="AK11">
        <v>113.2</v>
      </c>
      <c r="AM11" t="s">
        <v>134</v>
      </c>
      <c r="AN11">
        <v>77.8</v>
      </c>
      <c r="AO11">
        <v>37.6</v>
      </c>
      <c r="AP11">
        <v>51.4</v>
      </c>
      <c r="AR11" t="s">
        <v>321</v>
      </c>
    </row>
    <row r="12" spans="1:44" hidden="1">
      <c r="A12" t="s">
        <v>266</v>
      </c>
      <c r="B12" t="s">
        <v>8</v>
      </c>
      <c r="C12" t="s">
        <v>315</v>
      </c>
      <c r="E12" t="s">
        <v>103</v>
      </c>
      <c r="F12" t="s">
        <v>182</v>
      </c>
      <c r="G12" s="93">
        <v>45874</v>
      </c>
      <c r="H12" t="s">
        <v>370</v>
      </c>
      <c r="I12">
        <v>514494</v>
      </c>
      <c r="J12">
        <v>4948116</v>
      </c>
      <c r="K12">
        <v>19</v>
      </c>
      <c r="L12" t="s">
        <v>207</v>
      </c>
      <c r="M12" t="s">
        <v>204</v>
      </c>
      <c r="N12" t="s">
        <v>182</v>
      </c>
      <c r="O12" s="93">
        <v>45874</v>
      </c>
      <c r="P12" t="s">
        <v>370</v>
      </c>
      <c r="Q12">
        <v>514494</v>
      </c>
      <c r="R12">
        <v>4948116</v>
      </c>
      <c r="S12" t="s">
        <v>298</v>
      </c>
      <c r="T12" t="s">
        <v>317</v>
      </c>
      <c r="U12" t="s">
        <v>318</v>
      </c>
      <c r="V12">
        <v>1645289</v>
      </c>
      <c r="W12">
        <v>2560</v>
      </c>
      <c r="X12" t="s">
        <v>379</v>
      </c>
      <c r="AB12" t="s">
        <v>380</v>
      </c>
      <c r="AG12" t="s">
        <v>169</v>
      </c>
      <c r="AH12" t="s">
        <v>169</v>
      </c>
      <c r="AI12" t="s">
        <v>169</v>
      </c>
      <c r="AJ12">
        <v>87</v>
      </c>
      <c r="AK12">
        <v>101.4</v>
      </c>
      <c r="AM12" t="s">
        <v>134</v>
      </c>
      <c r="AN12">
        <v>63</v>
      </c>
      <c r="AO12">
        <v>33</v>
      </c>
      <c r="AP12">
        <v>47</v>
      </c>
      <c r="AR12" t="s">
        <v>321</v>
      </c>
    </row>
    <row r="13" spans="1:44" hidden="1">
      <c r="A13" t="s">
        <v>266</v>
      </c>
      <c r="B13" t="s">
        <v>8</v>
      </c>
      <c r="C13" t="s">
        <v>315</v>
      </c>
      <c r="E13" t="s">
        <v>103</v>
      </c>
      <c r="F13" t="s">
        <v>182</v>
      </c>
      <c r="G13" s="93">
        <v>45874</v>
      </c>
      <c r="H13" t="s">
        <v>370</v>
      </c>
      <c r="I13">
        <v>514494</v>
      </c>
      <c r="J13">
        <v>4948116</v>
      </c>
      <c r="K13">
        <v>19</v>
      </c>
      <c r="L13" t="s">
        <v>207</v>
      </c>
      <c r="M13" t="s">
        <v>204</v>
      </c>
      <c r="N13" t="s">
        <v>182</v>
      </c>
      <c r="O13" s="93">
        <v>45874</v>
      </c>
      <c r="P13" t="s">
        <v>370</v>
      </c>
      <c r="Q13">
        <v>514494</v>
      </c>
      <c r="R13">
        <v>4948116</v>
      </c>
      <c r="S13" t="s">
        <v>298</v>
      </c>
      <c r="T13" t="s">
        <v>317</v>
      </c>
      <c r="U13" t="s">
        <v>318</v>
      </c>
      <c r="V13">
        <v>1645288</v>
      </c>
      <c r="W13">
        <v>2560</v>
      </c>
      <c r="X13" t="s">
        <v>381</v>
      </c>
      <c r="AB13" t="s">
        <v>382</v>
      </c>
      <c r="AG13" t="s">
        <v>169</v>
      </c>
      <c r="AH13" t="s">
        <v>169</v>
      </c>
      <c r="AI13" t="s">
        <v>169</v>
      </c>
      <c r="AJ13">
        <v>90.4</v>
      </c>
      <c r="AK13">
        <v>108.6</v>
      </c>
      <c r="AM13" t="s">
        <v>134</v>
      </c>
      <c r="AN13">
        <v>71</v>
      </c>
      <c r="AO13">
        <v>36.1</v>
      </c>
      <c r="AP13">
        <v>55.9</v>
      </c>
      <c r="AQ13" t="s">
        <v>383</v>
      </c>
      <c r="AR13" t="s">
        <v>321</v>
      </c>
    </row>
    <row r="14" spans="1:44" hidden="1">
      <c r="A14" t="s">
        <v>266</v>
      </c>
      <c r="B14" t="s">
        <v>8</v>
      </c>
      <c r="C14" t="s">
        <v>315</v>
      </c>
      <c r="E14" t="s">
        <v>103</v>
      </c>
      <c r="F14" t="s">
        <v>182</v>
      </c>
      <c r="G14" s="93">
        <v>45874</v>
      </c>
      <c r="H14" t="s">
        <v>370</v>
      </c>
      <c r="I14">
        <v>514494</v>
      </c>
      <c r="J14">
        <v>4948116</v>
      </c>
      <c r="K14">
        <v>19</v>
      </c>
      <c r="L14" t="s">
        <v>207</v>
      </c>
      <c r="M14" t="s">
        <v>204</v>
      </c>
      <c r="N14" t="s">
        <v>182</v>
      </c>
      <c r="O14" s="93">
        <v>45874</v>
      </c>
      <c r="P14" t="s">
        <v>370</v>
      </c>
      <c r="Q14">
        <v>514494</v>
      </c>
      <c r="R14">
        <v>4948116</v>
      </c>
      <c r="S14" t="s">
        <v>298</v>
      </c>
      <c r="T14" t="s">
        <v>317</v>
      </c>
      <c r="U14" t="s">
        <v>318</v>
      </c>
      <c r="V14">
        <v>1645275</v>
      </c>
      <c r="W14">
        <v>2560</v>
      </c>
      <c r="X14" t="s">
        <v>384</v>
      </c>
      <c r="AB14" t="s">
        <v>385</v>
      </c>
      <c r="AG14" t="s">
        <v>169</v>
      </c>
      <c r="AH14" t="s">
        <v>169</v>
      </c>
      <c r="AI14" t="s">
        <v>169</v>
      </c>
      <c r="AJ14">
        <v>159.19999999999999</v>
      </c>
      <c r="AK14">
        <v>185.3</v>
      </c>
      <c r="AM14" t="s">
        <v>134</v>
      </c>
      <c r="AN14">
        <v>120</v>
      </c>
      <c r="AO14">
        <v>59.7</v>
      </c>
      <c r="AP14">
        <v>85.9</v>
      </c>
      <c r="AR14" t="s">
        <v>321</v>
      </c>
    </row>
    <row r="15" spans="1:44" hidden="1">
      <c r="A15" t="s">
        <v>266</v>
      </c>
      <c r="B15" t="s">
        <v>8</v>
      </c>
      <c r="C15" t="s">
        <v>315</v>
      </c>
      <c r="E15" t="s">
        <v>103</v>
      </c>
      <c r="F15" t="s">
        <v>182</v>
      </c>
      <c r="G15" s="93">
        <v>45874</v>
      </c>
      <c r="H15" t="s">
        <v>370</v>
      </c>
      <c r="I15">
        <v>514494</v>
      </c>
      <c r="J15">
        <v>4948116</v>
      </c>
      <c r="K15">
        <v>19</v>
      </c>
      <c r="L15" t="s">
        <v>207</v>
      </c>
      <c r="M15" t="s">
        <v>204</v>
      </c>
      <c r="N15" t="s">
        <v>182</v>
      </c>
      <c r="O15" s="93">
        <v>45874</v>
      </c>
      <c r="P15" t="s">
        <v>370</v>
      </c>
      <c r="Q15">
        <v>514494</v>
      </c>
      <c r="R15">
        <v>4948116</v>
      </c>
      <c r="S15" t="s">
        <v>298</v>
      </c>
      <c r="T15" t="s">
        <v>317</v>
      </c>
      <c r="U15" t="s">
        <v>318</v>
      </c>
      <c r="V15">
        <v>1645279</v>
      </c>
      <c r="W15">
        <v>2560</v>
      </c>
      <c r="X15" t="s">
        <v>387</v>
      </c>
      <c r="AB15" t="s">
        <v>388</v>
      </c>
      <c r="AG15" t="s">
        <v>169</v>
      </c>
      <c r="AH15" t="s">
        <v>169</v>
      </c>
      <c r="AI15" t="s">
        <v>169</v>
      </c>
      <c r="AJ15">
        <v>90</v>
      </c>
      <c r="AK15">
        <v>105.8</v>
      </c>
      <c r="AM15" t="s">
        <v>134</v>
      </c>
      <c r="AN15">
        <v>73</v>
      </c>
      <c r="AO15">
        <v>39</v>
      </c>
      <c r="AP15">
        <v>52</v>
      </c>
      <c r="AR15" t="s">
        <v>321</v>
      </c>
    </row>
    <row r="16" spans="1:44" hidden="1">
      <c r="A16" t="s">
        <v>266</v>
      </c>
      <c r="B16" t="s">
        <v>8</v>
      </c>
      <c r="C16" t="s">
        <v>315</v>
      </c>
      <c r="E16" t="s">
        <v>103</v>
      </c>
      <c r="F16" t="s">
        <v>182</v>
      </c>
      <c r="G16" s="93">
        <v>45874</v>
      </c>
      <c r="H16" t="s">
        <v>370</v>
      </c>
      <c r="I16">
        <v>514494</v>
      </c>
      <c r="J16">
        <v>4948116</v>
      </c>
      <c r="K16">
        <v>19</v>
      </c>
      <c r="L16" t="s">
        <v>207</v>
      </c>
      <c r="M16" t="s">
        <v>204</v>
      </c>
      <c r="N16" t="s">
        <v>182</v>
      </c>
      <c r="O16" s="93">
        <v>45874</v>
      </c>
      <c r="P16" t="s">
        <v>370</v>
      </c>
      <c r="Q16">
        <v>514494</v>
      </c>
      <c r="R16">
        <v>4948116</v>
      </c>
      <c r="S16" t="s">
        <v>298</v>
      </c>
      <c r="T16" t="s">
        <v>317</v>
      </c>
      <c r="U16" t="s">
        <v>318</v>
      </c>
      <c r="V16">
        <v>1645286</v>
      </c>
      <c r="W16">
        <v>2560</v>
      </c>
      <c r="X16" t="s">
        <v>391</v>
      </c>
      <c r="AB16" t="s">
        <v>392</v>
      </c>
      <c r="AG16" t="s">
        <v>169</v>
      </c>
      <c r="AH16" t="s">
        <v>169</v>
      </c>
      <c r="AI16" t="s">
        <v>169</v>
      </c>
      <c r="AJ16">
        <v>85.6</v>
      </c>
      <c r="AK16">
        <v>103</v>
      </c>
      <c r="AM16" t="s">
        <v>134</v>
      </c>
      <c r="AN16">
        <v>79</v>
      </c>
      <c r="AO16">
        <v>34</v>
      </c>
      <c r="AP16">
        <v>53</v>
      </c>
      <c r="AR16" t="s">
        <v>321</v>
      </c>
    </row>
    <row r="17" spans="1:44" hidden="1">
      <c r="A17" t="s">
        <v>266</v>
      </c>
      <c r="B17" t="s">
        <v>8</v>
      </c>
      <c r="C17" t="s">
        <v>315</v>
      </c>
      <c r="E17" t="s">
        <v>103</v>
      </c>
      <c r="F17" t="s">
        <v>182</v>
      </c>
      <c r="G17" s="93">
        <v>45886</v>
      </c>
      <c r="H17" t="s">
        <v>370</v>
      </c>
      <c r="I17">
        <v>514494</v>
      </c>
      <c r="J17">
        <v>4948116</v>
      </c>
      <c r="K17">
        <v>19</v>
      </c>
      <c r="L17" t="s">
        <v>207</v>
      </c>
      <c r="M17" t="s">
        <v>204</v>
      </c>
      <c r="N17" t="s">
        <v>182</v>
      </c>
      <c r="O17" s="93">
        <v>45886</v>
      </c>
      <c r="P17" t="s">
        <v>370</v>
      </c>
      <c r="Q17">
        <v>514494</v>
      </c>
      <c r="R17">
        <v>4948116</v>
      </c>
      <c r="S17" t="s">
        <v>298</v>
      </c>
      <c r="T17" t="s">
        <v>317</v>
      </c>
      <c r="U17" t="s">
        <v>318</v>
      </c>
      <c r="V17">
        <v>1645281</v>
      </c>
      <c r="W17">
        <v>2560</v>
      </c>
      <c r="X17" t="s">
        <v>393</v>
      </c>
      <c r="AB17" t="s">
        <v>394</v>
      </c>
      <c r="AG17" t="s">
        <v>169</v>
      </c>
      <c r="AH17" t="s">
        <v>169</v>
      </c>
      <c r="AI17" t="s">
        <v>169</v>
      </c>
      <c r="AJ17">
        <v>109</v>
      </c>
      <c r="AK17">
        <v>125</v>
      </c>
      <c r="AM17" t="s">
        <v>134</v>
      </c>
      <c r="AN17">
        <v>91.4</v>
      </c>
      <c r="AO17">
        <v>48.2</v>
      </c>
      <c r="AP17">
        <v>68.400000000000006</v>
      </c>
      <c r="AR17" t="s">
        <v>321</v>
      </c>
    </row>
    <row r="18" spans="1:44" hidden="1">
      <c r="A18" t="s">
        <v>266</v>
      </c>
      <c r="B18" t="s">
        <v>8</v>
      </c>
      <c r="C18" t="s">
        <v>315</v>
      </c>
      <c r="E18" t="s">
        <v>103</v>
      </c>
      <c r="F18" t="s">
        <v>182</v>
      </c>
      <c r="G18" s="93">
        <v>45886</v>
      </c>
      <c r="H18" t="s">
        <v>370</v>
      </c>
      <c r="I18">
        <v>514494</v>
      </c>
      <c r="J18">
        <v>4948116</v>
      </c>
      <c r="K18">
        <v>19</v>
      </c>
      <c r="L18" t="s">
        <v>207</v>
      </c>
      <c r="M18" t="s">
        <v>204</v>
      </c>
      <c r="N18" t="s">
        <v>182</v>
      </c>
      <c r="O18" s="93">
        <v>45886</v>
      </c>
      <c r="P18" t="s">
        <v>370</v>
      </c>
      <c r="Q18">
        <v>514494</v>
      </c>
      <c r="R18">
        <v>4948116</v>
      </c>
      <c r="S18" t="s">
        <v>298</v>
      </c>
      <c r="T18" t="s">
        <v>317</v>
      </c>
      <c r="U18" t="s">
        <v>318</v>
      </c>
      <c r="V18">
        <v>1645276</v>
      </c>
      <c r="W18">
        <v>2560</v>
      </c>
      <c r="X18" t="s">
        <v>395</v>
      </c>
      <c r="AB18" t="s">
        <v>396</v>
      </c>
      <c r="AG18" t="s">
        <v>169</v>
      </c>
      <c r="AH18" t="s">
        <v>169</v>
      </c>
      <c r="AI18" t="s">
        <v>169</v>
      </c>
      <c r="AJ18">
        <v>109</v>
      </c>
      <c r="AK18">
        <v>114</v>
      </c>
      <c r="AM18" t="s">
        <v>134</v>
      </c>
      <c r="AN18">
        <v>80</v>
      </c>
      <c r="AO18">
        <v>43</v>
      </c>
      <c r="AP18">
        <v>59</v>
      </c>
      <c r="AR18" t="s">
        <v>321</v>
      </c>
    </row>
    <row r="19" spans="1:44" hidden="1">
      <c r="A19" t="s">
        <v>266</v>
      </c>
      <c r="B19" t="s">
        <v>8</v>
      </c>
      <c r="C19" t="s">
        <v>315</v>
      </c>
      <c r="E19" t="s">
        <v>103</v>
      </c>
      <c r="F19" t="s">
        <v>182</v>
      </c>
      <c r="G19" s="93">
        <v>45886</v>
      </c>
      <c r="H19" t="s">
        <v>370</v>
      </c>
      <c r="I19">
        <v>514494</v>
      </c>
      <c r="J19">
        <v>4948116</v>
      </c>
      <c r="K19">
        <v>19</v>
      </c>
      <c r="L19" t="s">
        <v>207</v>
      </c>
      <c r="M19" t="s">
        <v>204</v>
      </c>
      <c r="N19" t="s">
        <v>182</v>
      </c>
      <c r="O19" s="93">
        <v>45886</v>
      </c>
      <c r="P19" t="s">
        <v>370</v>
      </c>
      <c r="Q19">
        <v>514494</v>
      </c>
      <c r="R19">
        <v>4948116</v>
      </c>
      <c r="S19" t="s">
        <v>298</v>
      </c>
      <c r="T19" t="s">
        <v>317</v>
      </c>
      <c r="U19" t="s">
        <v>318</v>
      </c>
      <c r="V19">
        <v>1645277</v>
      </c>
      <c r="W19">
        <v>2560</v>
      </c>
      <c r="X19" t="s">
        <v>397</v>
      </c>
      <c r="AB19" t="s">
        <v>398</v>
      </c>
      <c r="AG19" t="s">
        <v>169</v>
      </c>
      <c r="AH19" t="s">
        <v>169</v>
      </c>
      <c r="AI19" t="s">
        <v>169</v>
      </c>
      <c r="AJ19">
        <v>103</v>
      </c>
      <c r="AK19">
        <v>123</v>
      </c>
      <c r="AM19" t="s">
        <v>134</v>
      </c>
      <c r="AN19">
        <v>85</v>
      </c>
      <c r="AO19">
        <v>43</v>
      </c>
      <c r="AP19">
        <v>64</v>
      </c>
      <c r="AR19" t="s">
        <v>321</v>
      </c>
    </row>
    <row r="20" spans="1:44" hidden="1">
      <c r="A20" t="s">
        <v>266</v>
      </c>
      <c r="B20" t="s">
        <v>8</v>
      </c>
      <c r="C20" t="s">
        <v>315</v>
      </c>
      <c r="E20" t="s">
        <v>103</v>
      </c>
      <c r="F20" t="s">
        <v>182</v>
      </c>
      <c r="G20" s="93">
        <v>45886</v>
      </c>
      <c r="H20" t="s">
        <v>370</v>
      </c>
      <c r="I20">
        <v>514494</v>
      </c>
      <c r="J20">
        <v>4948116</v>
      </c>
      <c r="K20">
        <v>19</v>
      </c>
      <c r="L20" t="s">
        <v>207</v>
      </c>
      <c r="M20" t="s">
        <v>204</v>
      </c>
      <c r="N20" t="s">
        <v>182</v>
      </c>
      <c r="O20" s="93">
        <v>45886</v>
      </c>
      <c r="P20" t="s">
        <v>370</v>
      </c>
      <c r="Q20">
        <v>514494</v>
      </c>
      <c r="R20">
        <v>4948116</v>
      </c>
      <c r="S20" t="s">
        <v>298</v>
      </c>
      <c r="T20" t="s">
        <v>317</v>
      </c>
      <c r="U20" t="s">
        <v>318</v>
      </c>
      <c r="V20">
        <v>1645272</v>
      </c>
      <c r="W20">
        <v>2560</v>
      </c>
      <c r="X20" t="s">
        <v>401</v>
      </c>
      <c r="AB20" t="s">
        <v>402</v>
      </c>
      <c r="AG20" t="s">
        <v>169</v>
      </c>
      <c r="AH20" t="s">
        <v>169</v>
      </c>
      <c r="AI20" t="s">
        <v>169</v>
      </c>
      <c r="AJ20">
        <v>95</v>
      </c>
      <c r="AK20">
        <v>112</v>
      </c>
      <c r="AM20" t="s">
        <v>134</v>
      </c>
      <c r="AN20">
        <v>75</v>
      </c>
      <c r="AO20">
        <v>34.799999999999997</v>
      </c>
      <c r="AP20">
        <v>56.4</v>
      </c>
      <c r="AR20" t="s">
        <v>321</v>
      </c>
    </row>
    <row r="21" spans="1:44" hidden="1">
      <c r="A21" t="s">
        <v>266</v>
      </c>
      <c r="B21" t="s">
        <v>8</v>
      </c>
      <c r="C21" t="s">
        <v>315</v>
      </c>
      <c r="E21" t="s">
        <v>103</v>
      </c>
      <c r="F21" t="s">
        <v>182</v>
      </c>
      <c r="G21" s="93">
        <v>45886</v>
      </c>
      <c r="H21" t="s">
        <v>370</v>
      </c>
      <c r="I21">
        <v>514494</v>
      </c>
      <c r="J21">
        <v>4948116</v>
      </c>
      <c r="K21">
        <v>19</v>
      </c>
      <c r="L21" t="s">
        <v>207</v>
      </c>
      <c r="M21" t="s">
        <v>204</v>
      </c>
      <c r="N21" t="s">
        <v>182</v>
      </c>
      <c r="O21" s="93">
        <v>45886</v>
      </c>
      <c r="P21" t="s">
        <v>370</v>
      </c>
      <c r="Q21">
        <v>514494</v>
      </c>
      <c r="R21">
        <v>4948116</v>
      </c>
      <c r="S21" t="s">
        <v>298</v>
      </c>
      <c r="T21" t="s">
        <v>317</v>
      </c>
      <c r="U21" t="s">
        <v>318</v>
      </c>
      <c r="V21">
        <v>1645284</v>
      </c>
      <c r="W21">
        <v>2560</v>
      </c>
      <c r="X21" t="s">
        <v>405</v>
      </c>
      <c r="AB21" t="s">
        <v>406</v>
      </c>
      <c r="AG21" t="s">
        <v>169</v>
      </c>
      <c r="AH21" t="s">
        <v>169</v>
      </c>
      <c r="AI21" t="s">
        <v>169</v>
      </c>
      <c r="AJ21">
        <v>130</v>
      </c>
      <c r="AK21">
        <v>152</v>
      </c>
      <c r="AM21" t="s">
        <v>134</v>
      </c>
      <c r="AN21">
        <v>113</v>
      </c>
      <c r="AO21">
        <v>49</v>
      </c>
      <c r="AP21">
        <v>74</v>
      </c>
      <c r="AR21" t="s">
        <v>321</v>
      </c>
    </row>
    <row r="22" spans="1:44" hidden="1">
      <c r="A22" t="s">
        <v>266</v>
      </c>
      <c r="B22" t="s">
        <v>8</v>
      </c>
      <c r="C22" t="s">
        <v>315</v>
      </c>
      <c r="E22" t="s">
        <v>103</v>
      </c>
      <c r="F22" t="s">
        <v>182</v>
      </c>
      <c r="G22" s="93">
        <v>46252</v>
      </c>
      <c r="H22" t="s">
        <v>370</v>
      </c>
      <c r="I22">
        <v>514494</v>
      </c>
      <c r="J22">
        <v>4948116</v>
      </c>
      <c r="K22">
        <v>19</v>
      </c>
      <c r="L22" t="s">
        <v>207</v>
      </c>
      <c r="M22" t="s">
        <v>204</v>
      </c>
      <c r="N22" t="s">
        <v>182</v>
      </c>
      <c r="O22" s="93">
        <v>46252</v>
      </c>
      <c r="P22" t="s">
        <v>370</v>
      </c>
      <c r="Q22">
        <v>514494</v>
      </c>
      <c r="R22">
        <v>4948116</v>
      </c>
      <c r="S22" t="s">
        <v>298</v>
      </c>
      <c r="T22" t="s">
        <v>317</v>
      </c>
      <c r="U22" t="s">
        <v>318</v>
      </c>
      <c r="V22">
        <v>1645283</v>
      </c>
      <c r="W22">
        <v>2560</v>
      </c>
      <c r="X22" t="s">
        <v>413</v>
      </c>
      <c r="AB22" t="s">
        <v>414</v>
      </c>
      <c r="AG22" t="s">
        <v>169</v>
      </c>
      <c r="AH22" t="s">
        <v>169</v>
      </c>
      <c r="AI22" t="s">
        <v>169</v>
      </c>
      <c r="AJ22">
        <v>115.4</v>
      </c>
      <c r="AK22">
        <v>130.80000000000001</v>
      </c>
      <c r="AM22" t="s">
        <v>134</v>
      </c>
      <c r="AN22">
        <v>93.1</v>
      </c>
      <c r="AO22">
        <v>41</v>
      </c>
      <c r="AP22">
        <v>69</v>
      </c>
      <c r="AR22" t="s">
        <v>321</v>
      </c>
    </row>
    <row r="23" spans="1:44" hidden="1">
      <c r="A23" t="s">
        <v>266</v>
      </c>
      <c r="B23" t="s">
        <v>8</v>
      </c>
      <c r="C23" t="s">
        <v>315</v>
      </c>
      <c r="E23" t="s">
        <v>103</v>
      </c>
      <c r="F23" t="s">
        <v>182</v>
      </c>
      <c r="G23" s="93">
        <v>46252</v>
      </c>
      <c r="H23" t="s">
        <v>370</v>
      </c>
      <c r="I23">
        <v>514494</v>
      </c>
      <c r="J23">
        <v>4948116</v>
      </c>
      <c r="K23">
        <v>19</v>
      </c>
      <c r="L23" t="s">
        <v>207</v>
      </c>
      <c r="M23" t="s">
        <v>204</v>
      </c>
      <c r="N23" t="s">
        <v>182</v>
      </c>
      <c r="O23" s="93">
        <v>46252</v>
      </c>
      <c r="P23" t="s">
        <v>370</v>
      </c>
      <c r="Q23">
        <v>514494</v>
      </c>
      <c r="R23">
        <v>4948116</v>
      </c>
      <c r="S23" t="s">
        <v>298</v>
      </c>
      <c r="T23" t="s">
        <v>317</v>
      </c>
      <c r="U23" t="s">
        <v>318</v>
      </c>
      <c r="V23">
        <v>1645294</v>
      </c>
      <c r="W23">
        <v>2560</v>
      </c>
      <c r="X23" t="s">
        <v>415</v>
      </c>
      <c r="AB23" t="s">
        <v>416</v>
      </c>
      <c r="AG23" t="s">
        <v>169</v>
      </c>
      <c r="AH23" t="s">
        <v>169</v>
      </c>
      <c r="AI23" t="s">
        <v>169</v>
      </c>
      <c r="AJ23">
        <v>102.6</v>
      </c>
      <c r="AK23">
        <v>116.8</v>
      </c>
      <c r="AM23" t="s">
        <v>134</v>
      </c>
      <c r="AN23">
        <v>81</v>
      </c>
      <c r="AO23">
        <v>41</v>
      </c>
      <c r="AP23">
        <v>58</v>
      </c>
      <c r="AR23" t="s">
        <v>321</v>
      </c>
    </row>
    <row r="24" spans="1:44" hidden="1">
      <c r="A24" t="s">
        <v>266</v>
      </c>
      <c r="B24" t="s">
        <v>8</v>
      </c>
      <c r="C24" t="s">
        <v>315</v>
      </c>
      <c r="E24" t="s">
        <v>103</v>
      </c>
      <c r="F24" t="s">
        <v>182</v>
      </c>
      <c r="G24" s="93">
        <v>46252</v>
      </c>
      <c r="H24" t="s">
        <v>370</v>
      </c>
      <c r="I24">
        <v>514494</v>
      </c>
      <c r="J24">
        <v>4948116</v>
      </c>
      <c r="K24">
        <v>19</v>
      </c>
      <c r="L24" t="s">
        <v>207</v>
      </c>
      <c r="M24" t="s">
        <v>204</v>
      </c>
      <c r="N24" t="s">
        <v>182</v>
      </c>
      <c r="O24" s="93">
        <v>46252</v>
      </c>
      <c r="P24" t="s">
        <v>370</v>
      </c>
      <c r="Q24">
        <v>514494</v>
      </c>
      <c r="R24">
        <v>4948116</v>
      </c>
      <c r="S24" t="s">
        <v>298</v>
      </c>
      <c r="T24" t="s">
        <v>317</v>
      </c>
      <c r="U24" t="s">
        <v>318</v>
      </c>
      <c r="V24">
        <v>1645299</v>
      </c>
      <c r="W24">
        <v>2560</v>
      </c>
      <c r="X24" t="s">
        <v>417</v>
      </c>
      <c r="AB24" t="s">
        <v>418</v>
      </c>
      <c r="AG24" t="s">
        <v>169</v>
      </c>
      <c r="AH24" t="s">
        <v>169</v>
      </c>
      <c r="AI24" t="s">
        <v>169</v>
      </c>
      <c r="AJ24">
        <v>109.4</v>
      </c>
      <c r="AK24">
        <v>120.2</v>
      </c>
      <c r="AM24" t="s">
        <v>134</v>
      </c>
      <c r="AN24">
        <v>92</v>
      </c>
      <c r="AO24">
        <v>42</v>
      </c>
      <c r="AP24">
        <v>63</v>
      </c>
      <c r="AR24" t="s">
        <v>321</v>
      </c>
    </row>
    <row r="25" spans="1:44" hidden="1">
      <c r="A25" t="s">
        <v>266</v>
      </c>
      <c r="B25" t="s">
        <v>8</v>
      </c>
      <c r="C25" t="s">
        <v>315</v>
      </c>
      <c r="E25" t="s">
        <v>103</v>
      </c>
      <c r="F25" t="s">
        <v>182</v>
      </c>
      <c r="G25" s="93">
        <v>46252</v>
      </c>
      <c r="H25" t="s">
        <v>370</v>
      </c>
      <c r="I25">
        <v>514494</v>
      </c>
      <c r="J25">
        <v>4948116</v>
      </c>
      <c r="K25">
        <v>19</v>
      </c>
      <c r="L25" t="s">
        <v>207</v>
      </c>
      <c r="M25" t="s">
        <v>204</v>
      </c>
      <c r="N25" t="s">
        <v>182</v>
      </c>
      <c r="O25" s="93">
        <v>46252</v>
      </c>
      <c r="P25" t="s">
        <v>370</v>
      </c>
      <c r="Q25">
        <v>514494</v>
      </c>
      <c r="R25">
        <v>4948116</v>
      </c>
      <c r="S25" t="s">
        <v>298</v>
      </c>
      <c r="T25" t="s">
        <v>317</v>
      </c>
      <c r="U25" t="s">
        <v>318</v>
      </c>
      <c r="V25">
        <v>1645296</v>
      </c>
      <c r="W25">
        <v>2560</v>
      </c>
      <c r="X25" t="s">
        <v>419</v>
      </c>
      <c r="AB25" t="s">
        <v>420</v>
      </c>
      <c r="AG25" t="s">
        <v>169</v>
      </c>
      <c r="AH25" t="s">
        <v>169</v>
      </c>
      <c r="AI25" t="s">
        <v>169</v>
      </c>
      <c r="AJ25">
        <v>120</v>
      </c>
      <c r="AK25">
        <v>143.1</v>
      </c>
      <c r="AM25" t="s">
        <v>134</v>
      </c>
      <c r="AN25">
        <v>96</v>
      </c>
      <c r="AO25">
        <v>48</v>
      </c>
      <c r="AP25">
        <v>73</v>
      </c>
      <c r="AR25" t="s">
        <v>321</v>
      </c>
    </row>
    <row r="26" spans="1:44" hidden="1">
      <c r="A26" t="s">
        <v>266</v>
      </c>
      <c r="B26" t="s">
        <v>8</v>
      </c>
      <c r="C26" t="s">
        <v>315</v>
      </c>
      <c r="E26" t="s">
        <v>103</v>
      </c>
      <c r="F26" t="s">
        <v>182</v>
      </c>
      <c r="G26" s="93">
        <v>45874</v>
      </c>
      <c r="H26" t="s">
        <v>370</v>
      </c>
      <c r="I26">
        <v>514494</v>
      </c>
      <c r="J26">
        <v>4948116</v>
      </c>
      <c r="K26">
        <v>19</v>
      </c>
      <c r="L26" t="s">
        <v>207</v>
      </c>
      <c r="M26" t="s">
        <v>204</v>
      </c>
      <c r="N26" t="s">
        <v>182</v>
      </c>
      <c r="O26" s="93">
        <v>45874</v>
      </c>
      <c r="P26" t="s">
        <v>370</v>
      </c>
      <c r="Q26">
        <v>514494</v>
      </c>
      <c r="R26">
        <v>4948116</v>
      </c>
      <c r="S26" t="s">
        <v>4</v>
      </c>
      <c r="AB26" t="s">
        <v>386</v>
      </c>
      <c r="AG26" t="s">
        <v>169</v>
      </c>
      <c r="AH26" t="s">
        <v>169</v>
      </c>
      <c r="AI26" t="s">
        <v>169</v>
      </c>
      <c r="AJ26">
        <v>79.8</v>
      </c>
      <c r="AK26">
        <v>90.6</v>
      </c>
      <c r="AM26" t="s">
        <v>134</v>
      </c>
      <c r="AN26">
        <v>63</v>
      </c>
      <c r="AO26">
        <v>34</v>
      </c>
      <c r="AP26">
        <v>49</v>
      </c>
      <c r="AR26" t="s">
        <v>321</v>
      </c>
    </row>
    <row r="27" spans="1:44" hidden="1">
      <c r="A27" t="s">
        <v>266</v>
      </c>
      <c r="B27" t="s">
        <v>8</v>
      </c>
      <c r="C27" t="s">
        <v>315</v>
      </c>
      <c r="E27" t="s">
        <v>103</v>
      </c>
      <c r="F27" t="s">
        <v>182</v>
      </c>
      <c r="G27" s="93">
        <v>45886</v>
      </c>
      <c r="H27" t="s">
        <v>370</v>
      </c>
      <c r="I27">
        <v>514494</v>
      </c>
      <c r="J27">
        <v>4948116</v>
      </c>
      <c r="K27">
        <v>19</v>
      </c>
      <c r="L27" t="s">
        <v>207</v>
      </c>
      <c r="M27" t="s">
        <v>204</v>
      </c>
      <c r="N27" t="s">
        <v>182</v>
      </c>
      <c r="O27" s="93">
        <v>45886</v>
      </c>
      <c r="P27" t="s">
        <v>370</v>
      </c>
      <c r="Q27">
        <v>514494</v>
      </c>
      <c r="R27">
        <v>4948116</v>
      </c>
      <c r="S27" t="s">
        <v>4</v>
      </c>
      <c r="AB27" t="s">
        <v>399</v>
      </c>
      <c r="AG27" t="s">
        <v>169</v>
      </c>
      <c r="AH27" t="s">
        <v>169</v>
      </c>
      <c r="AI27" t="s">
        <v>169</v>
      </c>
      <c r="AJ27">
        <v>93</v>
      </c>
      <c r="AK27">
        <v>105.8</v>
      </c>
      <c r="AM27" t="s">
        <v>134</v>
      </c>
      <c r="AN27">
        <v>76</v>
      </c>
      <c r="AO27">
        <v>36.4</v>
      </c>
      <c r="AP27">
        <v>55.4</v>
      </c>
      <c r="AR27" t="s">
        <v>321</v>
      </c>
    </row>
    <row r="28" spans="1:44" hidden="1">
      <c r="A28" t="s">
        <v>266</v>
      </c>
      <c r="B28" t="s">
        <v>8</v>
      </c>
      <c r="C28" t="s">
        <v>315</v>
      </c>
      <c r="E28" t="s">
        <v>103</v>
      </c>
      <c r="F28" t="s">
        <v>182</v>
      </c>
      <c r="G28" s="93">
        <v>45886</v>
      </c>
      <c r="H28" t="s">
        <v>370</v>
      </c>
      <c r="I28">
        <v>514494</v>
      </c>
      <c r="J28">
        <v>4948116</v>
      </c>
      <c r="K28">
        <v>19</v>
      </c>
      <c r="L28" t="s">
        <v>207</v>
      </c>
      <c r="M28" t="s">
        <v>204</v>
      </c>
      <c r="N28" t="s">
        <v>182</v>
      </c>
      <c r="O28" s="93">
        <v>45886</v>
      </c>
      <c r="P28" t="s">
        <v>370</v>
      </c>
      <c r="Q28">
        <v>514494</v>
      </c>
      <c r="R28">
        <v>4948116</v>
      </c>
      <c r="S28" t="s">
        <v>4</v>
      </c>
      <c r="AB28" t="s">
        <v>400</v>
      </c>
      <c r="AG28" t="s">
        <v>169</v>
      </c>
      <c r="AH28" t="s">
        <v>169</v>
      </c>
      <c r="AI28" t="s">
        <v>169</v>
      </c>
      <c r="AJ28">
        <v>84.2</v>
      </c>
      <c r="AK28">
        <v>100.2</v>
      </c>
      <c r="AM28" t="s">
        <v>134</v>
      </c>
      <c r="AN28">
        <v>65</v>
      </c>
      <c r="AO28">
        <v>30.5</v>
      </c>
      <c r="AP28">
        <v>46.7</v>
      </c>
      <c r="AR28" t="s">
        <v>321</v>
      </c>
    </row>
    <row r="29" spans="1:44" hidden="1">
      <c r="A29" t="s">
        <v>266</v>
      </c>
      <c r="B29" t="s">
        <v>8</v>
      </c>
      <c r="C29" t="s">
        <v>315</v>
      </c>
      <c r="E29" t="s">
        <v>103</v>
      </c>
      <c r="F29" t="s">
        <v>182</v>
      </c>
      <c r="G29" s="93">
        <v>45886</v>
      </c>
      <c r="H29" t="s">
        <v>370</v>
      </c>
      <c r="I29">
        <v>514494</v>
      </c>
      <c r="J29">
        <v>4948116</v>
      </c>
      <c r="K29">
        <v>19</v>
      </c>
      <c r="L29" t="s">
        <v>207</v>
      </c>
      <c r="M29" t="s">
        <v>204</v>
      </c>
      <c r="N29" t="s">
        <v>182</v>
      </c>
      <c r="O29" s="93">
        <v>45886</v>
      </c>
      <c r="P29" t="s">
        <v>370</v>
      </c>
      <c r="Q29">
        <v>514494</v>
      </c>
      <c r="R29">
        <v>4948116</v>
      </c>
      <c r="S29" t="s">
        <v>4</v>
      </c>
      <c r="AB29" t="s">
        <v>403</v>
      </c>
      <c r="AG29" t="s">
        <v>169</v>
      </c>
      <c r="AH29" t="s">
        <v>169</v>
      </c>
      <c r="AI29" t="s">
        <v>169</v>
      </c>
      <c r="AJ29">
        <v>90</v>
      </c>
      <c r="AK29">
        <v>107</v>
      </c>
      <c r="AM29" t="s">
        <v>134</v>
      </c>
      <c r="AN29">
        <v>76</v>
      </c>
      <c r="AO29">
        <v>32.200000000000003</v>
      </c>
      <c r="AP29">
        <v>50.3</v>
      </c>
      <c r="AR29" t="s">
        <v>321</v>
      </c>
    </row>
    <row r="30" spans="1:44" hidden="1">
      <c r="A30" t="s">
        <v>266</v>
      </c>
      <c r="B30" t="s">
        <v>8</v>
      </c>
      <c r="C30" t="s">
        <v>315</v>
      </c>
      <c r="E30" t="s">
        <v>103</v>
      </c>
      <c r="F30" t="s">
        <v>182</v>
      </c>
      <c r="G30" s="93">
        <v>45886</v>
      </c>
      <c r="H30" t="s">
        <v>370</v>
      </c>
      <c r="I30">
        <v>514494</v>
      </c>
      <c r="J30">
        <v>4948116</v>
      </c>
      <c r="K30">
        <v>19</v>
      </c>
      <c r="L30" t="s">
        <v>207</v>
      </c>
      <c r="M30" t="s">
        <v>204</v>
      </c>
      <c r="N30" t="s">
        <v>182</v>
      </c>
      <c r="O30" s="93">
        <v>45886</v>
      </c>
      <c r="P30" t="s">
        <v>370</v>
      </c>
      <c r="Q30">
        <v>514494</v>
      </c>
      <c r="R30">
        <v>4948116</v>
      </c>
      <c r="S30" t="s">
        <v>4</v>
      </c>
      <c r="AB30" t="s">
        <v>404</v>
      </c>
      <c r="AG30" t="s">
        <v>169</v>
      </c>
      <c r="AH30" t="s">
        <v>169</v>
      </c>
      <c r="AI30" t="s">
        <v>169</v>
      </c>
      <c r="AJ30">
        <v>83</v>
      </c>
      <c r="AK30">
        <v>99.4</v>
      </c>
      <c r="AM30" t="s">
        <v>134</v>
      </c>
      <c r="AN30">
        <v>65.599999999999994</v>
      </c>
      <c r="AO30">
        <v>27.8</v>
      </c>
      <c r="AP30">
        <v>46</v>
      </c>
      <c r="AR30" t="s">
        <v>321</v>
      </c>
    </row>
    <row r="31" spans="1:44" hidden="1">
      <c r="A31" t="s">
        <v>266</v>
      </c>
      <c r="B31" t="s">
        <v>8</v>
      </c>
      <c r="C31" t="s">
        <v>315</v>
      </c>
      <c r="E31" t="s">
        <v>103</v>
      </c>
      <c r="F31" t="s">
        <v>182</v>
      </c>
      <c r="G31" s="93">
        <v>46252</v>
      </c>
      <c r="H31" t="s">
        <v>370</v>
      </c>
      <c r="I31">
        <v>514494</v>
      </c>
      <c r="J31">
        <v>4948116</v>
      </c>
      <c r="K31">
        <v>19</v>
      </c>
      <c r="L31" t="s">
        <v>207</v>
      </c>
      <c r="M31" t="s">
        <v>204</v>
      </c>
      <c r="N31" t="s">
        <v>182</v>
      </c>
      <c r="O31" s="93">
        <v>46252</v>
      </c>
      <c r="P31" t="s">
        <v>370</v>
      </c>
      <c r="Q31">
        <v>514494</v>
      </c>
      <c r="R31">
        <v>4948116</v>
      </c>
      <c r="S31" t="s">
        <v>4</v>
      </c>
      <c r="AB31" t="s">
        <v>421</v>
      </c>
      <c r="AG31" t="s">
        <v>169</v>
      </c>
      <c r="AH31" t="s">
        <v>169</v>
      </c>
      <c r="AI31" t="s">
        <v>169</v>
      </c>
      <c r="AJ31">
        <v>92.2</v>
      </c>
      <c r="AK31">
        <v>108.8</v>
      </c>
      <c r="AM31" t="s">
        <v>134</v>
      </c>
      <c r="AN31">
        <v>75.2</v>
      </c>
      <c r="AO31">
        <v>33.299999999999997</v>
      </c>
      <c r="AP31">
        <v>49.2</v>
      </c>
      <c r="AR31" t="s">
        <v>321</v>
      </c>
    </row>
    <row r="32" spans="1:44" hidden="1">
      <c r="A32" t="s">
        <v>266</v>
      </c>
      <c r="B32" t="s">
        <v>8</v>
      </c>
      <c r="C32" t="s">
        <v>315</v>
      </c>
      <c r="E32" t="s">
        <v>103</v>
      </c>
      <c r="F32" t="s">
        <v>182</v>
      </c>
      <c r="G32" s="93">
        <v>46252</v>
      </c>
      <c r="H32" t="s">
        <v>370</v>
      </c>
      <c r="I32">
        <v>514494</v>
      </c>
      <c r="J32">
        <v>4948116</v>
      </c>
      <c r="K32">
        <v>19</v>
      </c>
      <c r="L32" t="s">
        <v>207</v>
      </c>
      <c r="M32" t="s">
        <v>204</v>
      </c>
      <c r="N32" t="s">
        <v>182</v>
      </c>
      <c r="O32" s="93">
        <v>46252</v>
      </c>
      <c r="P32" t="s">
        <v>370</v>
      </c>
      <c r="Q32">
        <v>514494</v>
      </c>
      <c r="R32">
        <v>4948116</v>
      </c>
      <c r="S32" t="s">
        <v>4</v>
      </c>
      <c r="AB32" t="s">
        <v>422</v>
      </c>
      <c r="AG32" t="s">
        <v>169</v>
      </c>
      <c r="AH32" t="s">
        <v>169</v>
      </c>
      <c r="AI32" t="s">
        <v>169</v>
      </c>
      <c r="AJ32">
        <v>97.8</v>
      </c>
      <c r="AK32">
        <v>105.2</v>
      </c>
      <c r="AM32" t="s">
        <v>134</v>
      </c>
      <c r="AN32">
        <v>78.2</v>
      </c>
      <c r="AO32">
        <v>37.4</v>
      </c>
      <c r="AP32">
        <v>58.2</v>
      </c>
      <c r="AR32" t="s">
        <v>321</v>
      </c>
    </row>
    <row r="33" spans="1:44" hidden="1">
      <c r="A33" t="s">
        <v>266</v>
      </c>
      <c r="B33" t="s">
        <v>8</v>
      </c>
      <c r="C33" t="s">
        <v>315</v>
      </c>
      <c r="E33" t="s">
        <v>103</v>
      </c>
      <c r="F33" t="s">
        <v>182</v>
      </c>
      <c r="G33" s="93">
        <v>46252</v>
      </c>
      <c r="H33" t="s">
        <v>370</v>
      </c>
      <c r="I33">
        <v>514494</v>
      </c>
      <c r="J33">
        <v>4948116</v>
      </c>
      <c r="K33">
        <v>19</v>
      </c>
      <c r="L33" t="s">
        <v>207</v>
      </c>
      <c r="M33" t="s">
        <v>204</v>
      </c>
      <c r="N33" t="s">
        <v>182</v>
      </c>
      <c r="O33" s="93">
        <v>46252</v>
      </c>
      <c r="P33" t="s">
        <v>370</v>
      </c>
      <c r="Q33">
        <v>514494</v>
      </c>
      <c r="R33">
        <v>4948116</v>
      </c>
      <c r="S33" t="s">
        <v>4</v>
      </c>
      <c r="AB33" t="s">
        <v>423</v>
      </c>
      <c r="AG33" t="s">
        <v>169</v>
      </c>
      <c r="AH33" t="s">
        <v>169</v>
      </c>
      <c r="AI33" t="s">
        <v>169</v>
      </c>
      <c r="AJ33">
        <v>100.4</v>
      </c>
      <c r="AK33">
        <v>120</v>
      </c>
      <c r="AM33" t="s">
        <v>134</v>
      </c>
      <c r="AN33">
        <v>81.2</v>
      </c>
      <c r="AO33">
        <v>37.299999999999997</v>
      </c>
      <c r="AP33">
        <v>62.3</v>
      </c>
      <c r="AR33" t="s">
        <v>321</v>
      </c>
    </row>
    <row r="34" spans="1:44" hidden="1">
      <c r="A34" t="s">
        <v>266</v>
      </c>
      <c r="B34" t="s">
        <v>8</v>
      </c>
      <c r="C34" t="s">
        <v>315</v>
      </c>
      <c r="E34" t="s">
        <v>103</v>
      </c>
      <c r="F34" t="s">
        <v>182</v>
      </c>
      <c r="G34" s="93">
        <v>46252</v>
      </c>
      <c r="H34" t="s">
        <v>370</v>
      </c>
      <c r="I34">
        <v>514494</v>
      </c>
      <c r="J34">
        <v>4948116</v>
      </c>
      <c r="K34">
        <v>19</v>
      </c>
      <c r="L34" t="s">
        <v>207</v>
      </c>
      <c r="M34" t="s">
        <v>204</v>
      </c>
      <c r="N34" t="s">
        <v>182</v>
      </c>
      <c r="O34" s="93">
        <v>46252</v>
      </c>
      <c r="P34" t="s">
        <v>370</v>
      </c>
      <c r="Q34">
        <v>514494</v>
      </c>
      <c r="R34">
        <v>4948116</v>
      </c>
      <c r="S34" t="s">
        <v>4</v>
      </c>
      <c r="AB34" t="s">
        <v>424</v>
      </c>
      <c r="AG34" t="s">
        <v>169</v>
      </c>
      <c r="AH34" t="s">
        <v>169</v>
      </c>
      <c r="AI34" t="s">
        <v>169</v>
      </c>
      <c r="AJ34">
        <v>88</v>
      </c>
      <c r="AK34">
        <v>103</v>
      </c>
      <c r="AM34" t="s">
        <v>134</v>
      </c>
      <c r="AN34">
        <v>70.8</v>
      </c>
      <c r="AO34">
        <v>35.1</v>
      </c>
      <c r="AP34">
        <v>50.3</v>
      </c>
      <c r="AR34" t="s">
        <v>321</v>
      </c>
    </row>
    <row r="35" spans="1:44" hidden="1">
      <c r="A35" t="s">
        <v>266</v>
      </c>
      <c r="B35" t="s">
        <v>8</v>
      </c>
      <c r="C35" t="s">
        <v>315</v>
      </c>
      <c r="E35" t="s">
        <v>103</v>
      </c>
      <c r="F35" t="s">
        <v>182</v>
      </c>
      <c r="G35" s="93">
        <v>46252</v>
      </c>
      <c r="H35" t="s">
        <v>370</v>
      </c>
      <c r="I35">
        <v>514494</v>
      </c>
      <c r="J35">
        <v>4948116</v>
      </c>
      <c r="K35">
        <v>19</v>
      </c>
      <c r="L35" t="s">
        <v>207</v>
      </c>
      <c r="M35" t="s">
        <v>204</v>
      </c>
      <c r="N35" t="s">
        <v>182</v>
      </c>
      <c r="O35" s="93">
        <v>46252</v>
      </c>
      <c r="P35" t="s">
        <v>370</v>
      </c>
      <c r="Q35">
        <v>514494</v>
      </c>
      <c r="R35">
        <v>4948116</v>
      </c>
      <c r="S35" t="s">
        <v>4</v>
      </c>
      <c r="AB35" t="s">
        <v>425</v>
      </c>
      <c r="AG35" t="s">
        <v>169</v>
      </c>
      <c r="AH35" t="s">
        <v>169</v>
      </c>
      <c r="AI35" t="s">
        <v>169</v>
      </c>
      <c r="AJ35">
        <v>93.6</v>
      </c>
      <c r="AK35">
        <v>109.2</v>
      </c>
      <c r="AM35" t="s">
        <v>134</v>
      </c>
      <c r="AN35">
        <v>71</v>
      </c>
      <c r="AO35">
        <v>33.9</v>
      </c>
      <c r="AP35">
        <v>54.7</v>
      </c>
      <c r="AR35" t="s">
        <v>321</v>
      </c>
    </row>
    <row r="36" spans="1:44" hidden="1">
      <c r="A36" t="s">
        <v>266</v>
      </c>
      <c r="B36" t="s">
        <v>8</v>
      </c>
      <c r="C36" t="s">
        <v>315</v>
      </c>
      <c r="E36" t="s">
        <v>103</v>
      </c>
      <c r="F36" t="s">
        <v>182</v>
      </c>
      <c r="G36" s="93">
        <v>46252</v>
      </c>
      <c r="H36" t="s">
        <v>370</v>
      </c>
      <c r="I36">
        <v>514494</v>
      </c>
      <c r="J36">
        <v>4948116</v>
      </c>
      <c r="K36">
        <v>19</v>
      </c>
      <c r="L36" t="s">
        <v>207</v>
      </c>
      <c r="M36" t="s">
        <v>204</v>
      </c>
      <c r="N36" t="s">
        <v>182</v>
      </c>
      <c r="O36" s="93">
        <v>46252</v>
      </c>
      <c r="P36" t="s">
        <v>370</v>
      </c>
      <c r="Q36">
        <v>514494</v>
      </c>
      <c r="R36">
        <v>4948116</v>
      </c>
      <c r="S36" t="s">
        <v>4</v>
      </c>
      <c r="AB36" t="s">
        <v>426</v>
      </c>
      <c r="AG36" t="s">
        <v>169</v>
      </c>
      <c r="AH36" t="s">
        <v>169</v>
      </c>
      <c r="AI36" t="s">
        <v>169</v>
      </c>
      <c r="AJ36">
        <v>88.8</v>
      </c>
      <c r="AK36">
        <v>104.4</v>
      </c>
      <c r="AM36" t="s">
        <v>134</v>
      </c>
      <c r="AN36">
        <v>69.2</v>
      </c>
      <c r="AO36">
        <v>32.700000000000003</v>
      </c>
      <c r="AP36">
        <v>53.6</v>
      </c>
      <c r="AR36" t="s">
        <v>321</v>
      </c>
    </row>
    <row r="37" spans="1:44">
      <c r="A37" t="s">
        <v>266</v>
      </c>
      <c r="B37" t="s">
        <v>13</v>
      </c>
      <c r="C37" t="s">
        <v>315</v>
      </c>
      <c r="E37" t="s">
        <v>100</v>
      </c>
      <c r="F37" t="s">
        <v>182</v>
      </c>
      <c r="G37" s="93">
        <v>45873</v>
      </c>
      <c r="H37" t="s">
        <v>339</v>
      </c>
      <c r="I37">
        <v>437291</v>
      </c>
      <c r="J37">
        <v>4902372</v>
      </c>
      <c r="K37">
        <v>19</v>
      </c>
      <c r="L37" t="s">
        <v>207</v>
      </c>
      <c r="M37" t="s">
        <v>204</v>
      </c>
      <c r="N37" t="s">
        <v>182</v>
      </c>
      <c r="O37" s="93">
        <v>45873</v>
      </c>
      <c r="P37" t="s">
        <v>339</v>
      </c>
      <c r="Q37">
        <v>437291</v>
      </c>
      <c r="R37">
        <v>4902372</v>
      </c>
      <c r="S37" t="s">
        <v>298</v>
      </c>
      <c r="T37" t="s">
        <v>317</v>
      </c>
      <c r="U37" t="s">
        <v>318</v>
      </c>
      <c r="V37">
        <v>1645265</v>
      </c>
      <c r="W37">
        <v>2560</v>
      </c>
      <c r="X37" t="s">
        <v>340</v>
      </c>
      <c r="AB37" t="s">
        <v>341</v>
      </c>
      <c r="AG37" t="s">
        <v>169</v>
      </c>
      <c r="AH37" t="s">
        <v>169</v>
      </c>
      <c r="AI37" t="s">
        <v>169</v>
      </c>
      <c r="AJ37">
        <v>73.099999999999994</v>
      </c>
      <c r="AK37">
        <v>88.2</v>
      </c>
      <c r="AM37" t="s">
        <v>134</v>
      </c>
      <c r="AN37">
        <v>54</v>
      </c>
      <c r="AO37">
        <v>36</v>
      </c>
      <c r="AP37">
        <v>41</v>
      </c>
      <c r="AR37" t="s">
        <v>321</v>
      </c>
    </row>
    <row r="38" spans="1:44">
      <c r="A38" t="s">
        <v>266</v>
      </c>
      <c r="B38" t="s">
        <v>13</v>
      </c>
      <c r="C38" t="s">
        <v>315</v>
      </c>
      <c r="E38" t="s">
        <v>100</v>
      </c>
      <c r="F38" t="s">
        <v>182</v>
      </c>
      <c r="G38" s="93">
        <v>45873</v>
      </c>
      <c r="H38" t="s">
        <v>339</v>
      </c>
      <c r="I38">
        <v>437291</v>
      </c>
      <c r="J38">
        <v>4902372</v>
      </c>
      <c r="K38">
        <v>19</v>
      </c>
      <c r="L38" t="s">
        <v>207</v>
      </c>
      <c r="M38" t="s">
        <v>204</v>
      </c>
      <c r="N38" t="s">
        <v>182</v>
      </c>
      <c r="O38" s="93">
        <v>45873</v>
      </c>
      <c r="P38" t="s">
        <v>339</v>
      </c>
      <c r="Q38">
        <v>437291</v>
      </c>
      <c r="R38">
        <v>4902372</v>
      </c>
      <c r="S38" t="s">
        <v>298</v>
      </c>
      <c r="T38" t="s">
        <v>317</v>
      </c>
      <c r="U38" t="s">
        <v>318</v>
      </c>
      <c r="V38">
        <v>1645264</v>
      </c>
      <c r="W38">
        <v>2560</v>
      </c>
      <c r="X38" t="s">
        <v>342</v>
      </c>
      <c r="AB38" t="s">
        <v>343</v>
      </c>
      <c r="AG38" t="s">
        <v>169</v>
      </c>
      <c r="AH38" t="s">
        <v>169</v>
      </c>
      <c r="AI38" t="s">
        <v>169</v>
      </c>
      <c r="AJ38">
        <v>68.900000000000006</v>
      </c>
      <c r="AK38">
        <v>82.8</v>
      </c>
      <c r="AM38" t="s">
        <v>134</v>
      </c>
      <c r="AN38">
        <v>57</v>
      </c>
      <c r="AO38">
        <v>38</v>
      </c>
      <c r="AP38">
        <v>46</v>
      </c>
      <c r="AR38" t="s">
        <v>321</v>
      </c>
    </row>
    <row r="39" spans="1:44">
      <c r="A39" t="s">
        <v>266</v>
      </c>
      <c r="B39" t="s">
        <v>13</v>
      </c>
      <c r="C39" t="s">
        <v>315</v>
      </c>
      <c r="E39" t="s">
        <v>100</v>
      </c>
      <c r="F39" t="s">
        <v>182</v>
      </c>
      <c r="G39" s="93">
        <v>45873</v>
      </c>
      <c r="H39" t="s">
        <v>339</v>
      </c>
      <c r="I39">
        <v>437291</v>
      </c>
      <c r="J39">
        <v>4902372</v>
      </c>
      <c r="K39">
        <v>19</v>
      </c>
      <c r="L39" t="s">
        <v>207</v>
      </c>
      <c r="M39" t="s">
        <v>204</v>
      </c>
      <c r="N39" t="s">
        <v>182</v>
      </c>
      <c r="O39" s="93">
        <v>45873</v>
      </c>
      <c r="P39" t="s">
        <v>339</v>
      </c>
      <c r="Q39">
        <v>437291</v>
      </c>
      <c r="R39">
        <v>4902372</v>
      </c>
      <c r="S39" t="s">
        <v>298</v>
      </c>
      <c r="T39" t="s">
        <v>317</v>
      </c>
      <c r="U39" t="s">
        <v>318</v>
      </c>
      <c r="V39">
        <v>1645262</v>
      </c>
      <c r="W39">
        <v>2560</v>
      </c>
      <c r="X39" t="s">
        <v>344</v>
      </c>
      <c r="AB39" t="s">
        <v>345</v>
      </c>
      <c r="AG39" t="s">
        <v>169</v>
      </c>
      <c r="AH39" t="s">
        <v>169</v>
      </c>
      <c r="AI39" t="s">
        <v>169</v>
      </c>
      <c r="AJ39">
        <v>65.599999999999994</v>
      </c>
      <c r="AK39">
        <v>76.599999999999994</v>
      </c>
      <c r="AM39" t="s">
        <v>134</v>
      </c>
      <c r="AN39">
        <v>51</v>
      </c>
      <c r="AO39">
        <v>40</v>
      </c>
      <c r="AP39">
        <v>47</v>
      </c>
      <c r="AR39" t="s">
        <v>321</v>
      </c>
    </row>
    <row r="40" spans="1:44">
      <c r="A40" t="s">
        <v>266</v>
      </c>
      <c r="B40" t="s">
        <v>13</v>
      </c>
      <c r="C40" t="s">
        <v>315</v>
      </c>
      <c r="E40" t="s">
        <v>100</v>
      </c>
      <c r="F40" t="s">
        <v>182</v>
      </c>
      <c r="G40" s="93">
        <v>45873</v>
      </c>
      <c r="H40" t="s">
        <v>339</v>
      </c>
      <c r="I40">
        <v>437291</v>
      </c>
      <c r="J40">
        <v>4902372</v>
      </c>
      <c r="K40">
        <v>19</v>
      </c>
      <c r="L40" t="s">
        <v>207</v>
      </c>
      <c r="M40" t="s">
        <v>204</v>
      </c>
      <c r="N40" t="s">
        <v>182</v>
      </c>
      <c r="O40" s="93">
        <v>45873</v>
      </c>
      <c r="P40" t="s">
        <v>339</v>
      </c>
      <c r="Q40">
        <v>437291</v>
      </c>
      <c r="R40">
        <v>4902372</v>
      </c>
      <c r="S40" t="s">
        <v>298</v>
      </c>
      <c r="T40" t="s">
        <v>317</v>
      </c>
      <c r="U40" t="s">
        <v>318</v>
      </c>
      <c r="V40">
        <v>1645267</v>
      </c>
      <c r="W40">
        <v>2560</v>
      </c>
      <c r="X40" t="s">
        <v>346</v>
      </c>
      <c r="AB40" t="s">
        <v>347</v>
      </c>
      <c r="AG40" t="s">
        <v>169</v>
      </c>
      <c r="AH40" t="s">
        <v>169</v>
      </c>
      <c r="AI40" t="s">
        <v>169</v>
      </c>
      <c r="AJ40">
        <v>75.8</v>
      </c>
      <c r="AK40">
        <v>86.2</v>
      </c>
      <c r="AM40" t="s">
        <v>134</v>
      </c>
      <c r="AN40">
        <v>59</v>
      </c>
      <c r="AO40">
        <v>46</v>
      </c>
      <c r="AP40">
        <v>54</v>
      </c>
      <c r="AQ40" t="s">
        <v>348</v>
      </c>
      <c r="AR40" t="s">
        <v>321</v>
      </c>
    </row>
    <row r="41" spans="1:44">
      <c r="A41" t="s">
        <v>266</v>
      </c>
      <c r="B41" t="s">
        <v>13</v>
      </c>
      <c r="C41" t="s">
        <v>315</v>
      </c>
      <c r="E41" t="s">
        <v>100</v>
      </c>
      <c r="F41" t="s">
        <v>182</v>
      </c>
      <c r="G41" s="93">
        <v>45873</v>
      </c>
      <c r="H41" t="s">
        <v>339</v>
      </c>
      <c r="I41">
        <v>437291</v>
      </c>
      <c r="J41">
        <v>4902372</v>
      </c>
      <c r="K41">
        <v>19</v>
      </c>
      <c r="L41" t="s">
        <v>207</v>
      </c>
      <c r="M41" t="s">
        <v>204</v>
      </c>
      <c r="N41" t="s">
        <v>182</v>
      </c>
      <c r="O41" s="93">
        <v>45873</v>
      </c>
      <c r="P41" t="s">
        <v>339</v>
      </c>
      <c r="Q41">
        <v>437291</v>
      </c>
      <c r="R41">
        <v>4902372</v>
      </c>
      <c r="S41" t="s">
        <v>298</v>
      </c>
      <c r="T41" t="s">
        <v>317</v>
      </c>
      <c r="U41" t="s">
        <v>318</v>
      </c>
      <c r="V41">
        <v>1645266</v>
      </c>
      <c r="W41">
        <v>2560</v>
      </c>
      <c r="X41" t="s">
        <v>349</v>
      </c>
      <c r="AB41" t="s">
        <v>350</v>
      </c>
      <c r="AG41" t="s">
        <v>169</v>
      </c>
      <c r="AH41" t="s">
        <v>169</v>
      </c>
      <c r="AI41" t="s">
        <v>169</v>
      </c>
      <c r="AJ41">
        <v>65.2</v>
      </c>
      <c r="AK41">
        <v>77.099999999999994</v>
      </c>
      <c r="AM41" t="s">
        <v>134</v>
      </c>
      <c r="AN41">
        <v>50</v>
      </c>
      <c r="AO41">
        <v>36</v>
      </c>
      <c r="AP41">
        <v>43</v>
      </c>
      <c r="AQ41" t="s">
        <v>351</v>
      </c>
      <c r="AR41" t="s">
        <v>321</v>
      </c>
    </row>
    <row r="42" spans="1:44">
      <c r="A42" t="s">
        <v>266</v>
      </c>
      <c r="B42" t="s">
        <v>13</v>
      </c>
      <c r="C42" t="s">
        <v>315</v>
      </c>
      <c r="E42" t="s">
        <v>100</v>
      </c>
      <c r="F42" t="s">
        <v>182</v>
      </c>
      <c r="G42" s="93">
        <v>45873</v>
      </c>
      <c r="H42" t="s">
        <v>339</v>
      </c>
      <c r="I42">
        <v>437291</v>
      </c>
      <c r="J42">
        <v>4902372</v>
      </c>
      <c r="K42">
        <v>19</v>
      </c>
      <c r="L42" t="s">
        <v>207</v>
      </c>
      <c r="M42" t="s">
        <v>204</v>
      </c>
      <c r="N42" t="s">
        <v>182</v>
      </c>
      <c r="O42" s="93">
        <v>45873</v>
      </c>
      <c r="P42" t="s">
        <v>339</v>
      </c>
      <c r="Q42">
        <v>437291</v>
      </c>
      <c r="R42">
        <v>4902372</v>
      </c>
      <c r="S42" t="s">
        <v>298</v>
      </c>
      <c r="T42" t="s">
        <v>317</v>
      </c>
      <c r="U42" t="s">
        <v>318</v>
      </c>
      <c r="V42">
        <v>1638357</v>
      </c>
      <c r="W42">
        <v>2560</v>
      </c>
      <c r="X42" t="s">
        <v>352</v>
      </c>
      <c r="AB42" t="s">
        <v>353</v>
      </c>
      <c r="AG42" t="s">
        <v>169</v>
      </c>
      <c r="AH42" t="s">
        <v>169</v>
      </c>
      <c r="AI42" t="s">
        <v>169</v>
      </c>
      <c r="AJ42">
        <v>74</v>
      </c>
      <c r="AK42">
        <v>84.8</v>
      </c>
      <c r="AM42" t="s">
        <v>134</v>
      </c>
      <c r="AN42">
        <v>57</v>
      </c>
      <c r="AO42">
        <v>44</v>
      </c>
      <c r="AP42">
        <v>55</v>
      </c>
      <c r="AQ42" t="s">
        <v>354</v>
      </c>
      <c r="AR42" t="s">
        <v>321</v>
      </c>
    </row>
    <row r="43" spans="1:44">
      <c r="A43" t="s">
        <v>266</v>
      </c>
      <c r="B43" t="s">
        <v>13</v>
      </c>
      <c r="C43" t="s">
        <v>315</v>
      </c>
      <c r="E43" t="s">
        <v>100</v>
      </c>
      <c r="F43" t="s">
        <v>182</v>
      </c>
      <c r="G43" s="93">
        <v>45873</v>
      </c>
      <c r="H43" t="s">
        <v>339</v>
      </c>
      <c r="I43">
        <v>437291</v>
      </c>
      <c r="J43">
        <v>4902372</v>
      </c>
      <c r="K43">
        <v>19</v>
      </c>
      <c r="L43" t="s">
        <v>207</v>
      </c>
      <c r="M43" t="s">
        <v>204</v>
      </c>
      <c r="N43" t="s">
        <v>182</v>
      </c>
      <c r="O43" s="93">
        <v>45873</v>
      </c>
      <c r="P43" t="s">
        <v>339</v>
      </c>
      <c r="Q43">
        <v>437291</v>
      </c>
      <c r="R43">
        <v>4902372</v>
      </c>
      <c r="S43" t="s">
        <v>298</v>
      </c>
      <c r="T43" t="s">
        <v>317</v>
      </c>
      <c r="U43" t="s">
        <v>318</v>
      </c>
      <c r="V43">
        <v>1645269</v>
      </c>
      <c r="W43">
        <v>2560</v>
      </c>
      <c r="X43" t="s">
        <v>355</v>
      </c>
      <c r="AB43" t="s">
        <v>356</v>
      </c>
      <c r="AG43" t="s">
        <v>169</v>
      </c>
      <c r="AH43" t="s">
        <v>169</v>
      </c>
      <c r="AI43" t="s">
        <v>169</v>
      </c>
      <c r="AJ43">
        <v>65.8</v>
      </c>
      <c r="AK43">
        <v>76.8</v>
      </c>
      <c r="AM43" t="s">
        <v>134</v>
      </c>
      <c r="AN43">
        <v>49</v>
      </c>
      <c r="AO43">
        <v>37</v>
      </c>
      <c r="AP43">
        <v>46</v>
      </c>
      <c r="AR43" t="s">
        <v>321</v>
      </c>
    </row>
    <row r="44" spans="1:44">
      <c r="A44" t="s">
        <v>266</v>
      </c>
      <c r="B44" t="s">
        <v>13</v>
      </c>
      <c r="C44" t="s">
        <v>315</v>
      </c>
      <c r="E44" t="s">
        <v>100</v>
      </c>
      <c r="F44" t="s">
        <v>182</v>
      </c>
      <c r="G44" s="93">
        <v>45873</v>
      </c>
      <c r="H44" t="s">
        <v>339</v>
      </c>
      <c r="I44">
        <v>437291</v>
      </c>
      <c r="J44">
        <v>4902372</v>
      </c>
      <c r="K44">
        <v>19</v>
      </c>
      <c r="L44" t="s">
        <v>207</v>
      </c>
      <c r="M44" t="s">
        <v>204</v>
      </c>
      <c r="N44" t="s">
        <v>182</v>
      </c>
      <c r="O44" s="93">
        <v>45873</v>
      </c>
      <c r="P44" t="s">
        <v>339</v>
      </c>
      <c r="Q44">
        <v>437291</v>
      </c>
      <c r="R44">
        <v>4902372</v>
      </c>
      <c r="S44" t="s">
        <v>298</v>
      </c>
      <c r="T44" t="s">
        <v>317</v>
      </c>
      <c r="U44" t="s">
        <v>318</v>
      </c>
      <c r="V44">
        <v>1645268</v>
      </c>
      <c r="W44">
        <v>2560</v>
      </c>
      <c r="X44" t="s">
        <v>357</v>
      </c>
      <c r="AB44" t="s">
        <v>358</v>
      </c>
      <c r="AG44" t="s">
        <v>169</v>
      </c>
      <c r="AH44" t="s">
        <v>169</v>
      </c>
      <c r="AI44" t="s">
        <v>169</v>
      </c>
      <c r="AJ44">
        <v>70.599999999999994</v>
      </c>
      <c r="AK44">
        <v>82.6</v>
      </c>
      <c r="AM44" t="s">
        <v>134</v>
      </c>
      <c r="AN44">
        <v>52</v>
      </c>
      <c r="AO44">
        <v>44</v>
      </c>
      <c r="AP44">
        <v>51</v>
      </c>
      <c r="AR44" t="s">
        <v>321</v>
      </c>
    </row>
    <row r="45" spans="1:44">
      <c r="A45" t="s">
        <v>266</v>
      </c>
      <c r="B45" t="s">
        <v>13</v>
      </c>
      <c r="C45" t="s">
        <v>315</v>
      </c>
      <c r="E45" t="s">
        <v>100</v>
      </c>
      <c r="F45" t="s">
        <v>182</v>
      </c>
      <c r="G45" s="93">
        <v>45873</v>
      </c>
      <c r="H45" t="s">
        <v>339</v>
      </c>
      <c r="I45">
        <v>437291</v>
      </c>
      <c r="J45">
        <v>4902372</v>
      </c>
      <c r="K45">
        <v>19</v>
      </c>
      <c r="L45" t="s">
        <v>207</v>
      </c>
      <c r="M45" t="s">
        <v>204</v>
      </c>
      <c r="N45" t="s">
        <v>182</v>
      </c>
      <c r="O45" s="93">
        <v>45873</v>
      </c>
      <c r="P45" t="s">
        <v>339</v>
      </c>
      <c r="Q45">
        <v>437291</v>
      </c>
      <c r="R45">
        <v>4902372</v>
      </c>
      <c r="S45" t="s">
        <v>298</v>
      </c>
      <c r="T45" t="s">
        <v>317</v>
      </c>
      <c r="U45" t="s">
        <v>318</v>
      </c>
      <c r="V45">
        <v>1645263</v>
      </c>
      <c r="W45">
        <v>2560</v>
      </c>
      <c r="X45" t="s">
        <v>359</v>
      </c>
      <c r="AB45" t="s">
        <v>360</v>
      </c>
      <c r="AG45" t="s">
        <v>169</v>
      </c>
      <c r="AH45" t="s">
        <v>169</v>
      </c>
      <c r="AI45" t="s">
        <v>169</v>
      </c>
      <c r="AJ45">
        <v>68.2</v>
      </c>
      <c r="AK45">
        <v>82.6</v>
      </c>
      <c r="AM45" t="s">
        <v>134</v>
      </c>
      <c r="AN45">
        <v>51</v>
      </c>
      <c r="AO45">
        <v>44</v>
      </c>
      <c r="AP45">
        <v>52</v>
      </c>
      <c r="AR45" t="s">
        <v>321</v>
      </c>
    </row>
    <row r="46" spans="1:44">
      <c r="A46" t="s">
        <v>266</v>
      </c>
      <c r="B46" t="s">
        <v>13</v>
      </c>
      <c r="C46" t="s">
        <v>315</v>
      </c>
      <c r="E46" t="s">
        <v>100</v>
      </c>
      <c r="F46" t="s">
        <v>182</v>
      </c>
      <c r="G46" s="93">
        <v>45873</v>
      </c>
      <c r="H46" t="s">
        <v>339</v>
      </c>
      <c r="I46">
        <v>437291</v>
      </c>
      <c r="J46">
        <v>4902372</v>
      </c>
      <c r="K46">
        <v>19</v>
      </c>
      <c r="L46" t="s">
        <v>207</v>
      </c>
      <c r="M46" t="s">
        <v>204</v>
      </c>
      <c r="N46" t="s">
        <v>182</v>
      </c>
      <c r="O46" s="93">
        <v>45873</v>
      </c>
      <c r="P46" t="s">
        <v>339</v>
      </c>
      <c r="Q46">
        <v>437291</v>
      </c>
      <c r="R46">
        <v>4902372</v>
      </c>
      <c r="S46" t="s">
        <v>298</v>
      </c>
      <c r="T46" t="s">
        <v>317</v>
      </c>
      <c r="U46" t="s">
        <v>318</v>
      </c>
      <c r="V46">
        <v>1645260</v>
      </c>
      <c r="W46">
        <v>2560</v>
      </c>
      <c r="X46" t="s">
        <v>361</v>
      </c>
      <c r="AB46" t="s">
        <v>362</v>
      </c>
      <c r="AG46" t="s">
        <v>169</v>
      </c>
      <c r="AH46" t="s">
        <v>169</v>
      </c>
      <c r="AI46" t="s">
        <v>169</v>
      </c>
      <c r="AJ46">
        <v>58.8</v>
      </c>
      <c r="AK46">
        <v>70.400000000000006</v>
      </c>
      <c r="AM46" t="s">
        <v>134</v>
      </c>
      <c r="AN46">
        <v>51</v>
      </c>
      <c r="AO46">
        <v>35</v>
      </c>
      <c r="AP46">
        <v>43</v>
      </c>
      <c r="AR46" t="s">
        <v>321</v>
      </c>
    </row>
    <row r="47" spans="1:44">
      <c r="A47" t="s">
        <v>266</v>
      </c>
      <c r="B47" t="s">
        <v>13</v>
      </c>
      <c r="C47" t="s">
        <v>315</v>
      </c>
      <c r="E47" t="s">
        <v>100</v>
      </c>
      <c r="F47" t="s">
        <v>182</v>
      </c>
      <c r="G47" s="93">
        <v>45873</v>
      </c>
      <c r="H47" t="s">
        <v>339</v>
      </c>
      <c r="I47">
        <v>437291</v>
      </c>
      <c r="J47">
        <v>4902372</v>
      </c>
      <c r="K47">
        <v>19</v>
      </c>
      <c r="L47" t="s">
        <v>207</v>
      </c>
      <c r="M47" t="s">
        <v>204</v>
      </c>
      <c r="N47" t="s">
        <v>182</v>
      </c>
      <c r="O47" s="93">
        <v>45873</v>
      </c>
      <c r="P47" t="s">
        <v>339</v>
      </c>
      <c r="Q47">
        <v>437291</v>
      </c>
      <c r="R47">
        <v>4902372</v>
      </c>
      <c r="S47" t="s">
        <v>298</v>
      </c>
      <c r="T47" t="s">
        <v>317</v>
      </c>
      <c r="U47" t="s">
        <v>318</v>
      </c>
      <c r="V47">
        <v>1645259</v>
      </c>
      <c r="W47">
        <v>2560</v>
      </c>
      <c r="X47" t="s">
        <v>363</v>
      </c>
      <c r="AB47" t="s">
        <v>364</v>
      </c>
      <c r="AG47" t="s">
        <v>169</v>
      </c>
      <c r="AH47" t="s">
        <v>169</v>
      </c>
      <c r="AI47" t="s">
        <v>169</v>
      </c>
      <c r="AJ47">
        <v>59</v>
      </c>
      <c r="AK47">
        <v>69.599999999999994</v>
      </c>
      <c r="AM47" t="s">
        <v>134</v>
      </c>
      <c r="AN47">
        <v>47</v>
      </c>
      <c r="AO47">
        <v>36</v>
      </c>
      <c r="AP47">
        <v>42</v>
      </c>
      <c r="AR47" t="s">
        <v>321</v>
      </c>
    </row>
    <row r="48" spans="1:44">
      <c r="A48" t="s">
        <v>266</v>
      </c>
      <c r="B48" t="s">
        <v>13</v>
      </c>
      <c r="C48" t="s">
        <v>315</v>
      </c>
      <c r="E48" t="s">
        <v>100</v>
      </c>
      <c r="F48" t="s">
        <v>182</v>
      </c>
      <c r="G48" s="93">
        <v>45873</v>
      </c>
      <c r="H48" t="s">
        <v>339</v>
      </c>
      <c r="I48">
        <v>437291</v>
      </c>
      <c r="J48">
        <v>4902372</v>
      </c>
      <c r="K48">
        <v>19</v>
      </c>
      <c r="L48" t="s">
        <v>207</v>
      </c>
      <c r="M48" t="s">
        <v>204</v>
      </c>
      <c r="N48" t="s">
        <v>182</v>
      </c>
      <c r="O48" s="93">
        <v>45873</v>
      </c>
      <c r="P48" t="s">
        <v>339</v>
      </c>
      <c r="Q48">
        <v>437291</v>
      </c>
      <c r="R48">
        <v>4902372</v>
      </c>
      <c r="S48" t="s">
        <v>298</v>
      </c>
      <c r="T48" t="s">
        <v>317</v>
      </c>
      <c r="U48" t="s">
        <v>318</v>
      </c>
      <c r="V48">
        <v>1645271</v>
      </c>
      <c r="W48">
        <v>2560</v>
      </c>
      <c r="X48" t="s">
        <v>365</v>
      </c>
      <c r="AB48" t="s">
        <v>366</v>
      </c>
      <c r="AG48" t="s">
        <v>169</v>
      </c>
      <c r="AH48" t="s">
        <v>169</v>
      </c>
      <c r="AI48" t="s">
        <v>169</v>
      </c>
      <c r="AJ48">
        <v>63.4</v>
      </c>
      <c r="AK48">
        <v>75.2</v>
      </c>
      <c r="AM48" t="s">
        <v>134</v>
      </c>
      <c r="AN48">
        <v>46</v>
      </c>
      <c r="AO48">
        <v>35</v>
      </c>
      <c r="AP48">
        <v>43</v>
      </c>
      <c r="AR48" t="s">
        <v>321</v>
      </c>
    </row>
    <row r="49" spans="1:44">
      <c r="A49" t="s">
        <v>266</v>
      </c>
      <c r="B49" t="s">
        <v>13</v>
      </c>
      <c r="C49" t="s">
        <v>315</v>
      </c>
      <c r="E49" t="s">
        <v>100</v>
      </c>
      <c r="F49" t="s">
        <v>182</v>
      </c>
      <c r="G49" s="93">
        <v>45873</v>
      </c>
      <c r="H49" t="s">
        <v>339</v>
      </c>
      <c r="I49">
        <v>437291</v>
      </c>
      <c r="J49">
        <v>4902372</v>
      </c>
      <c r="K49">
        <v>19</v>
      </c>
      <c r="L49" t="s">
        <v>207</v>
      </c>
      <c r="M49" t="s">
        <v>204</v>
      </c>
      <c r="N49" t="s">
        <v>182</v>
      </c>
      <c r="O49" s="93">
        <v>45873</v>
      </c>
      <c r="P49" t="s">
        <v>339</v>
      </c>
      <c r="Q49">
        <v>437291</v>
      </c>
      <c r="R49">
        <v>4902372</v>
      </c>
      <c r="S49" t="s">
        <v>298</v>
      </c>
      <c r="T49" t="s">
        <v>317</v>
      </c>
      <c r="U49" t="s">
        <v>318</v>
      </c>
      <c r="V49">
        <v>1645270</v>
      </c>
      <c r="W49">
        <v>2560</v>
      </c>
      <c r="X49" t="s">
        <v>367</v>
      </c>
      <c r="AB49" t="s">
        <v>368</v>
      </c>
      <c r="AG49" t="s">
        <v>169</v>
      </c>
      <c r="AH49" t="s">
        <v>169</v>
      </c>
      <c r="AI49" t="s">
        <v>169</v>
      </c>
      <c r="AJ49">
        <v>65.400000000000006</v>
      </c>
      <c r="AK49">
        <v>77</v>
      </c>
      <c r="AM49" t="s">
        <v>134</v>
      </c>
      <c r="AN49">
        <v>51</v>
      </c>
      <c r="AO49">
        <v>57</v>
      </c>
      <c r="AP49">
        <v>45</v>
      </c>
      <c r="AR49" t="s">
        <v>321</v>
      </c>
    </row>
    <row r="50" spans="1:44">
      <c r="A50" t="s">
        <v>266</v>
      </c>
      <c r="B50" t="s">
        <v>13</v>
      </c>
      <c r="C50" t="s">
        <v>315</v>
      </c>
      <c r="E50" t="s">
        <v>103</v>
      </c>
      <c r="F50" t="s">
        <v>182</v>
      </c>
      <c r="G50" s="93">
        <v>45874</v>
      </c>
      <c r="H50" t="s">
        <v>370</v>
      </c>
      <c r="I50">
        <v>514494</v>
      </c>
      <c r="J50">
        <v>4948116</v>
      </c>
      <c r="K50">
        <v>19</v>
      </c>
      <c r="L50" t="s">
        <v>207</v>
      </c>
      <c r="M50" t="s">
        <v>204</v>
      </c>
      <c r="N50" t="s">
        <v>182</v>
      </c>
      <c r="O50" s="93">
        <v>45874</v>
      </c>
      <c r="P50" t="s">
        <v>370</v>
      </c>
      <c r="Q50">
        <v>514494</v>
      </c>
      <c r="R50">
        <v>4948116</v>
      </c>
      <c r="S50" t="s">
        <v>298</v>
      </c>
      <c r="T50" t="s">
        <v>317</v>
      </c>
      <c r="U50" t="s">
        <v>318</v>
      </c>
      <c r="V50">
        <v>1645282</v>
      </c>
      <c r="W50">
        <v>2560</v>
      </c>
      <c r="X50" t="s">
        <v>371</v>
      </c>
      <c r="AB50" t="s">
        <v>372</v>
      </c>
      <c r="AG50" t="s">
        <v>169</v>
      </c>
      <c r="AH50" t="s">
        <v>169</v>
      </c>
      <c r="AI50" t="s">
        <v>169</v>
      </c>
      <c r="AJ50">
        <v>87.3</v>
      </c>
      <c r="AK50">
        <v>102.4</v>
      </c>
      <c r="AM50" t="s">
        <v>134</v>
      </c>
      <c r="AN50">
        <v>67.7</v>
      </c>
      <c r="AO50">
        <v>47.2</v>
      </c>
      <c r="AP50">
        <v>53.7</v>
      </c>
      <c r="AR50" t="s">
        <v>321</v>
      </c>
    </row>
    <row r="51" spans="1:44">
      <c r="A51" t="s">
        <v>266</v>
      </c>
      <c r="B51" t="s">
        <v>13</v>
      </c>
      <c r="C51" t="s">
        <v>315</v>
      </c>
      <c r="E51" t="s">
        <v>103</v>
      </c>
      <c r="F51" t="s">
        <v>182</v>
      </c>
      <c r="G51" s="93">
        <v>45874</v>
      </c>
      <c r="H51" t="s">
        <v>370</v>
      </c>
      <c r="I51">
        <v>514494</v>
      </c>
      <c r="J51">
        <v>4948116</v>
      </c>
      <c r="K51">
        <v>19</v>
      </c>
      <c r="L51" t="s">
        <v>207</v>
      </c>
      <c r="M51" t="s">
        <v>204</v>
      </c>
      <c r="N51" t="s">
        <v>182</v>
      </c>
      <c r="O51" s="93">
        <v>45874</v>
      </c>
      <c r="P51" t="s">
        <v>370</v>
      </c>
      <c r="Q51">
        <v>514494</v>
      </c>
      <c r="R51">
        <v>4948116</v>
      </c>
      <c r="S51" t="s">
        <v>298</v>
      </c>
      <c r="T51" t="s">
        <v>317</v>
      </c>
      <c r="U51" t="s">
        <v>318</v>
      </c>
      <c r="V51">
        <v>1645287</v>
      </c>
      <c r="W51">
        <v>2560</v>
      </c>
      <c r="X51" t="s">
        <v>373</v>
      </c>
      <c r="AB51" t="s">
        <v>374</v>
      </c>
      <c r="AG51" t="s">
        <v>169</v>
      </c>
      <c r="AH51" t="s">
        <v>169</v>
      </c>
      <c r="AI51" t="s">
        <v>169</v>
      </c>
      <c r="AJ51">
        <v>95</v>
      </c>
      <c r="AK51">
        <v>109.7</v>
      </c>
      <c r="AM51" t="s">
        <v>134</v>
      </c>
      <c r="AN51">
        <v>71</v>
      </c>
      <c r="AO51">
        <v>49</v>
      </c>
      <c r="AP51">
        <v>61</v>
      </c>
      <c r="AR51" t="s">
        <v>321</v>
      </c>
    </row>
    <row r="52" spans="1:44">
      <c r="A52" t="s">
        <v>266</v>
      </c>
      <c r="B52" t="s">
        <v>13</v>
      </c>
      <c r="C52" t="s">
        <v>315</v>
      </c>
      <c r="E52" t="s">
        <v>103</v>
      </c>
      <c r="F52" t="s">
        <v>182</v>
      </c>
      <c r="G52" s="93">
        <v>45874</v>
      </c>
      <c r="H52" t="s">
        <v>370</v>
      </c>
      <c r="I52">
        <v>514494</v>
      </c>
      <c r="J52">
        <v>4948116</v>
      </c>
      <c r="K52">
        <v>19</v>
      </c>
      <c r="L52" t="s">
        <v>207</v>
      </c>
      <c r="M52" t="s">
        <v>204</v>
      </c>
      <c r="N52" t="s">
        <v>182</v>
      </c>
      <c r="O52" s="93">
        <v>45874</v>
      </c>
      <c r="P52" t="s">
        <v>370</v>
      </c>
      <c r="Q52">
        <v>514494</v>
      </c>
      <c r="R52">
        <v>4948116</v>
      </c>
      <c r="S52" t="s">
        <v>298</v>
      </c>
      <c r="T52" t="s">
        <v>317</v>
      </c>
      <c r="U52" t="s">
        <v>318</v>
      </c>
      <c r="V52">
        <v>1645291</v>
      </c>
      <c r="W52">
        <v>2560</v>
      </c>
      <c r="X52" t="s">
        <v>375</v>
      </c>
      <c r="AB52" t="s">
        <v>376</v>
      </c>
      <c r="AG52" t="s">
        <v>169</v>
      </c>
      <c r="AH52" t="s">
        <v>169</v>
      </c>
      <c r="AI52" t="s">
        <v>169</v>
      </c>
      <c r="AJ52">
        <v>109.2</v>
      </c>
      <c r="AK52">
        <v>118</v>
      </c>
      <c r="AM52" t="s">
        <v>134</v>
      </c>
      <c r="AN52">
        <v>69.099999999999994</v>
      </c>
      <c r="AO52">
        <v>48.5</v>
      </c>
      <c r="AP52">
        <v>66.8</v>
      </c>
      <c r="AR52" t="s">
        <v>321</v>
      </c>
    </row>
    <row r="53" spans="1:44">
      <c r="A53" t="s">
        <v>266</v>
      </c>
      <c r="B53" t="s">
        <v>13</v>
      </c>
      <c r="C53" t="s">
        <v>315</v>
      </c>
      <c r="E53" t="s">
        <v>103</v>
      </c>
      <c r="F53" t="s">
        <v>182</v>
      </c>
      <c r="G53" s="93">
        <v>45874</v>
      </c>
      <c r="H53" t="s">
        <v>370</v>
      </c>
      <c r="I53">
        <v>514494</v>
      </c>
      <c r="J53">
        <v>4948116</v>
      </c>
      <c r="K53">
        <v>19</v>
      </c>
      <c r="L53" t="s">
        <v>207</v>
      </c>
      <c r="M53" t="s">
        <v>204</v>
      </c>
      <c r="N53" t="s">
        <v>182</v>
      </c>
      <c r="O53" s="93">
        <v>45874</v>
      </c>
      <c r="P53" t="s">
        <v>370</v>
      </c>
      <c r="Q53">
        <v>514494</v>
      </c>
      <c r="R53">
        <v>4948116</v>
      </c>
      <c r="S53" t="s">
        <v>298</v>
      </c>
      <c r="T53" t="s">
        <v>317</v>
      </c>
      <c r="U53" t="s">
        <v>318</v>
      </c>
      <c r="V53">
        <v>1645285</v>
      </c>
      <c r="W53">
        <v>2560</v>
      </c>
      <c r="X53" t="s">
        <v>389</v>
      </c>
      <c r="AB53" t="s">
        <v>390</v>
      </c>
      <c r="AG53" t="s">
        <v>169</v>
      </c>
      <c r="AH53" t="s">
        <v>169</v>
      </c>
      <c r="AI53" t="s">
        <v>169</v>
      </c>
      <c r="AJ53">
        <v>94.8</v>
      </c>
      <c r="AK53">
        <v>108.8</v>
      </c>
      <c r="AM53" t="s">
        <v>134</v>
      </c>
      <c r="AN53">
        <v>73</v>
      </c>
      <c r="AO53">
        <v>50</v>
      </c>
      <c r="AP53">
        <v>66</v>
      </c>
      <c r="AR53" t="s">
        <v>321</v>
      </c>
    </row>
    <row r="54" spans="1:44">
      <c r="A54" t="s">
        <v>266</v>
      </c>
      <c r="B54" t="s">
        <v>13</v>
      </c>
      <c r="C54" t="s">
        <v>315</v>
      </c>
      <c r="E54" t="s">
        <v>103</v>
      </c>
      <c r="F54" t="s">
        <v>182</v>
      </c>
      <c r="G54" s="93">
        <v>45886</v>
      </c>
      <c r="H54" t="s">
        <v>370</v>
      </c>
      <c r="I54">
        <v>514494</v>
      </c>
      <c r="J54">
        <v>4948116</v>
      </c>
      <c r="K54">
        <v>19</v>
      </c>
      <c r="L54" t="s">
        <v>207</v>
      </c>
      <c r="M54" t="s">
        <v>204</v>
      </c>
      <c r="N54" t="s">
        <v>182</v>
      </c>
      <c r="O54" s="93">
        <v>45886</v>
      </c>
      <c r="P54" t="s">
        <v>370</v>
      </c>
      <c r="Q54">
        <v>514494</v>
      </c>
      <c r="R54">
        <v>4948116</v>
      </c>
      <c r="S54" t="s">
        <v>298</v>
      </c>
      <c r="T54" t="s">
        <v>317</v>
      </c>
      <c r="U54" t="s">
        <v>318</v>
      </c>
      <c r="V54">
        <v>1645298</v>
      </c>
      <c r="W54">
        <v>2560</v>
      </c>
      <c r="X54" t="s">
        <v>407</v>
      </c>
      <c r="AB54" t="s">
        <v>408</v>
      </c>
      <c r="AG54" t="s">
        <v>169</v>
      </c>
      <c r="AH54" t="s">
        <v>169</v>
      </c>
      <c r="AI54" t="s">
        <v>169</v>
      </c>
      <c r="AJ54">
        <v>94.6</v>
      </c>
      <c r="AK54">
        <v>107.6</v>
      </c>
      <c r="AM54" t="s">
        <v>134</v>
      </c>
      <c r="AN54">
        <v>75</v>
      </c>
      <c r="AO54">
        <v>48</v>
      </c>
      <c r="AP54">
        <v>70</v>
      </c>
      <c r="AR54" t="s">
        <v>321</v>
      </c>
    </row>
    <row r="55" spans="1:44">
      <c r="A55" t="s">
        <v>266</v>
      </c>
      <c r="B55" t="s">
        <v>13</v>
      </c>
      <c r="C55" t="s">
        <v>315</v>
      </c>
      <c r="E55" t="s">
        <v>103</v>
      </c>
      <c r="F55" t="s">
        <v>182</v>
      </c>
      <c r="G55" s="93">
        <v>45886</v>
      </c>
      <c r="H55" t="s">
        <v>370</v>
      </c>
      <c r="I55">
        <v>514494</v>
      </c>
      <c r="J55">
        <v>4948116</v>
      </c>
      <c r="K55">
        <v>19</v>
      </c>
      <c r="L55" t="s">
        <v>207</v>
      </c>
      <c r="M55" t="s">
        <v>204</v>
      </c>
      <c r="N55" t="s">
        <v>182</v>
      </c>
      <c r="O55" s="93">
        <v>45886</v>
      </c>
      <c r="P55" t="s">
        <v>370</v>
      </c>
      <c r="Q55">
        <v>514494</v>
      </c>
      <c r="R55">
        <v>4948116</v>
      </c>
      <c r="S55" t="s">
        <v>298</v>
      </c>
      <c r="T55" t="s">
        <v>317</v>
      </c>
      <c r="U55" t="s">
        <v>318</v>
      </c>
      <c r="V55">
        <v>1645297</v>
      </c>
      <c r="W55">
        <v>2560</v>
      </c>
      <c r="X55" t="s">
        <v>409</v>
      </c>
      <c r="AB55" t="s">
        <v>410</v>
      </c>
      <c r="AG55" t="s">
        <v>169</v>
      </c>
      <c r="AH55" t="s">
        <v>169</v>
      </c>
      <c r="AI55" t="s">
        <v>169</v>
      </c>
      <c r="AJ55">
        <v>85.4</v>
      </c>
      <c r="AK55">
        <v>97</v>
      </c>
      <c r="AM55" t="s">
        <v>134</v>
      </c>
      <c r="AN55">
        <v>63.1</v>
      </c>
      <c r="AO55">
        <v>42.8</v>
      </c>
      <c r="AP55">
        <v>53.5</v>
      </c>
      <c r="AR55" t="s">
        <v>321</v>
      </c>
    </row>
    <row r="56" spans="1:44">
      <c r="A56" t="s">
        <v>266</v>
      </c>
      <c r="B56" t="s">
        <v>13</v>
      </c>
      <c r="C56" t="s">
        <v>315</v>
      </c>
      <c r="E56" t="s">
        <v>103</v>
      </c>
      <c r="F56" t="s">
        <v>182</v>
      </c>
      <c r="G56" s="93">
        <v>45886</v>
      </c>
      <c r="H56" t="s">
        <v>370</v>
      </c>
      <c r="I56">
        <v>514494</v>
      </c>
      <c r="J56">
        <v>4948116</v>
      </c>
      <c r="K56">
        <v>19</v>
      </c>
      <c r="L56" t="s">
        <v>207</v>
      </c>
      <c r="M56" t="s">
        <v>204</v>
      </c>
      <c r="N56" t="s">
        <v>182</v>
      </c>
      <c r="O56" s="93">
        <v>45886</v>
      </c>
      <c r="P56" t="s">
        <v>370</v>
      </c>
      <c r="Q56">
        <v>514494</v>
      </c>
      <c r="R56">
        <v>4948116</v>
      </c>
      <c r="S56" t="s">
        <v>298</v>
      </c>
      <c r="T56" t="s">
        <v>317</v>
      </c>
      <c r="U56" t="s">
        <v>318</v>
      </c>
      <c r="V56">
        <v>1645273</v>
      </c>
      <c r="W56">
        <v>2560</v>
      </c>
      <c r="X56" t="s">
        <v>411</v>
      </c>
      <c r="AB56" t="s">
        <v>412</v>
      </c>
      <c r="AG56" t="s">
        <v>169</v>
      </c>
      <c r="AH56" t="s">
        <v>169</v>
      </c>
      <c r="AI56" t="s">
        <v>169</v>
      </c>
      <c r="AJ56">
        <v>96</v>
      </c>
      <c r="AK56">
        <v>114.6</v>
      </c>
      <c r="AM56" t="s">
        <v>134</v>
      </c>
      <c r="AN56">
        <v>66.5</v>
      </c>
      <c r="AO56">
        <v>50.4</v>
      </c>
      <c r="AP56">
        <v>69.2</v>
      </c>
      <c r="AR56" t="s">
        <v>321</v>
      </c>
    </row>
    <row r="57" spans="1:44" hidden="1">
      <c r="A57" t="s">
        <v>266</v>
      </c>
      <c r="B57" t="s">
        <v>13</v>
      </c>
      <c r="C57" t="s">
        <v>315</v>
      </c>
      <c r="E57" t="s">
        <v>100</v>
      </c>
      <c r="F57" t="s">
        <v>182</v>
      </c>
      <c r="G57" s="93">
        <v>45873</v>
      </c>
      <c r="H57" t="s">
        <v>339</v>
      </c>
      <c r="I57">
        <v>437291</v>
      </c>
      <c r="J57">
        <v>4902372</v>
      </c>
      <c r="K57">
        <v>19</v>
      </c>
      <c r="L57" t="s">
        <v>207</v>
      </c>
      <c r="M57" t="s">
        <v>204</v>
      </c>
      <c r="N57" t="s">
        <v>182</v>
      </c>
      <c r="O57" s="93">
        <v>45873</v>
      </c>
      <c r="P57" t="s">
        <v>339</v>
      </c>
      <c r="Q57">
        <v>437291</v>
      </c>
      <c r="R57">
        <v>4902372</v>
      </c>
      <c r="S57" t="s">
        <v>4</v>
      </c>
      <c r="AB57" t="s">
        <v>369</v>
      </c>
      <c r="AG57" t="s">
        <v>169</v>
      </c>
      <c r="AH57" t="s">
        <v>169</v>
      </c>
      <c r="AI57" t="s">
        <v>169</v>
      </c>
      <c r="AJ57">
        <v>61.4</v>
      </c>
      <c r="AK57">
        <v>72.3</v>
      </c>
      <c r="AM57" t="s">
        <v>134</v>
      </c>
      <c r="AN57">
        <v>47</v>
      </c>
      <c r="AO57">
        <v>36</v>
      </c>
      <c r="AP57">
        <v>43</v>
      </c>
      <c r="AR57" t="s">
        <v>321</v>
      </c>
    </row>
    <row r="58" spans="1:44">
      <c r="G58" s="93"/>
      <c r="O58" s="93"/>
      <c r="V58" s="94"/>
    </row>
    <row r="59" spans="1:44">
      <c r="G59" s="93"/>
      <c r="O59" s="93"/>
      <c r="V59" s="94"/>
    </row>
    <row r="60" spans="1:44">
      <c r="G60" s="93"/>
      <c r="O60" s="93"/>
      <c r="V60" s="94"/>
    </row>
    <row r="61" spans="1:44">
      <c r="G61" s="93"/>
      <c r="O61" s="93"/>
      <c r="V61" s="94"/>
    </row>
    <row r="62" spans="1:44">
      <c r="G62" s="93"/>
      <c r="O62" s="93"/>
      <c r="V62" s="94"/>
    </row>
    <row r="63" spans="1:44">
      <c r="G63" s="93"/>
      <c r="O63" s="93"/>
      <c r="V63" s="94"/>
    </row>
    <row r="64" spans="1:44">
      <c r="G64" s="93"/>
      <c r="O64" s="93"/>
      <c r="V64" s="94"/>
    </row>
    <row r="65" spans="7:22">
      <c r="G65" s="93"/>
      <c r="O65" s="93"/>
      <c r="V65" s="94"/>
    </row>
    <row r="66" spans="7:22">
      <c r="G66" s="93"/>
      <c r="O66" s="93"/>
      <c r="V66" s="94"/>
    </row>
    <row r="67" spans="7:22">
      <c r="G67" s="93"/>
      <c r="O67" s="93"/>
      <c r="V67" s="94"/>
    </row>
    <row r="68" spans="7:22">
      <c r="G68" s="93"/>
      <c r="O68" s="93"/>
      <c r="V68" s="94"/>
    </row>
    <row r="69" spans="7:22">
      <c r="G69" s="93"/>
      <c r="O69" s="93"/>
      <c r="V69" s="94"/>
    </row>
    <row r="70" spans="7:22">
      <c r="G70" s="93"/>
      <c r="O70" s="93"/>
      <c r="V70" s="94"/>
    </row>
    <row r="71" spans="7:22">
      <c r="G71" s="93"/>
      <c r="O71" s="93"/>
      <c r="V71" s="94"/>
    </row>
    <row r="72" spans="7:22">
      <c r="G72" s="93"/>
      <c r="O72" s="93"/>
      <c r="V72" s="94"/>
    </row>
    <row r="73" spans="7:22">
      <c r="G73" s="93"/>
      <c r="O73" s="93"/>
      <c r="V73" s="94"/>
    </row>
    <row r="74" spans="7:22">
      <c r="G74" s="93"/>
      <c r="O74" s="93"/>
      <c r="V74" s="94"/>
    </row>
    <row r="75" spans="7:22">
      <c r="G75" s="93"/>
      <c r="O75" s="93"/>
      <c r="V75" s="94"/>
    </row>
    <row r="76" spans="7:22">
      <c r="G76" s="93"/>
      <c r="O76" s="93"/>
      <c r="V76" s="94"/>
    </row>
    <row r="77" spans="7:22">
      <c r="G77" s="93"/>
      <c r="O77" s="93"/>
      <c r="V77" s="94"/>
    </row>
    <row r="78" spans="7:22">
      <c r="G78" s="93"/>
      <c r="O78" s="93"/>
      <c r="V78" s="94"/>
    </row>
    <row r="79" spans="7:22">
      <c r="G79" s="93"/>
      <c r="O79" s="93"/>
      <c r="V79" s="94"/>
    </row>
    <row r="80" spans="7:22">
      <c r="G80" s="93"/>
      <c r="O80" s="93"/>
      <c r="V80" s="95"/>
    </row>
    <row r="81" spans="7:22">
      <c r="G81" s="93"/>
      <c r="O81" s="93"/>
      <c r="V81" s="94"/>
    </row>
    <row r="82" spans="7:22">
      <c r="G82" s="93"/>
      <c r="O82" s="93"/>
      <c r="V82" s="94"/>
    </row>
    <row r="83" spans="7:22">
      <c r="G83" s="93"/>
      <c r="O83" s="93"/>
      <c r="V83" s="94"/>
    </row>
    <row r="84" spans="7:22">
      <c r="G84" s="93"/>
      <c r="O84" s="93"/>
      <c r="V84" s="94"/>
    </row>
    <row r="85" spans="7:22">
      <c r="G85" s="93"/>
      <c r="O85" s="93"/>
      <c r="V85" s="94"/>
    </row>
    <row r="86" spans="7:22">
      <c r="G86" s="93"/>
      <c r="O86" s="93"/>
      <c r="V86" s="94"/>
    </row>
    <row r="87" spans="7:22">
      <c r="G87" s="93"/>
      <c r="O87" s="93"/>
      <c r="V87" s="94"/>
    </row>
    <row r="88" spans="7:22">
      <c r="G88" s="93"/>
      <c r="O88" s="93"/>
      <c r="V88" s="94"/>
    </row>
    <row r="89" spans="7:22">
      <c r="G89" s="93"/>
      <c r="O89" s="93"/>
      <c r="V89" s="94"/>
    </row>
    <row r="90" spans="7:22">
      <c r="G90" s="93"/>
      <c r="O90" s="93"/>
      <c r="V90" s="94"/>
    </row>
    <row r="91" spans="7:22">
      <c r="G91" s="93"/>
      <c r="O91" s="93"/>
      <c r="V91" s="94"/>
    </row>
    <row r="92" spans="7:22">
      <c r="G92" s="93"/>
      <c r="O92" s="93"/>
      <c r="V92" s="94"/>
    </row>
    <row r="93" spans="7:22">
      <c r="G93" s="93"/>
      <c r="O93" s="93"/>
      <c r="V93" s="94"/>
    </row>
    <row r="94" spans="7:22">
      <c r="G94" s="93"/>
      <c r="O94" s="93"/>
      <c r="V94" s="94"/>
    </row>
    <row r="95" spans="7:22">
      <c r="G95" s="93"/>
      <c r="O95" s="93"/>
      <c r="V95" s="94"/>
    </row>
    <row r="96" spans="7:22">
      <c r="G96" s="93"/>
      <c r="O96" s="93"/>
      <c r="V96" s="94"/>
    </row>
    <row r="97" spans="7:22">
      <c r="G97" s="93"/>
      <c r="O97" s="93"/>
      <c r="V97" s="94"/>
    </row>
    <row r="98" spans="7:22">
      <c r="G98" s="93"/>
      <c r="O98" s="93"/>
      <c r="V98" s="94"/>
    </row>
    <row r="99" spans="7:22">
      <c r="G99" s="93"/>
      <c r="O99" s="93"/>
      <c r="V99" s="94"/>
    </row>
    <row r="100" spans="7:22">
      <c r="G100" s="93"/>
      <c r="O100" s="93"/>
      <c r="V100" s="94"/>
    </row>
    <row r="101" spans="7:22">
      <c r="G101" s="93"/>
      <c r="O101" s="93"/>
      <c r="V101" s="94"/>
    </row>
    <row r="102" spans="7:22">
      <c r="G102" s="93"/>
      <c r="O102" s="93"/>
      <c r="V102" s="94"/>
    </row>
    <row r="103" spans="7:22">
      <c r="G103" s="93"/>
      <c r="O103" s="93"/>
      <c r="V103" s="94"/>
    </row>
    <row r="104" spans="7:22">
      <c r="G104" s="93"/>
      <c r="O104" s="93"/>
      <c r="V104" s="94"/>
    </row>
    <row r="105" spans="7:22">
      <c r="G105" s="93"/>
      <c r="O105" s="93"/>
      <c r="V105" s="94"/>
    </row>
    <row r="106" spans="7:22">
      <c r="G106" s="93"/>
      <c r="O106" s="93"/>
      <c r="V106" s="94"/>
    </row>
    <row r="107" spans="7:22">
      <c r="G107" s="93"/>
      <c r="O107" s="93"/>
      <c r="V107" s="94"/>
    </row>
    <row r="108" spans="7:22">
      <c r="G108" s="93"/>
      <c r="O108" s="93"/>
      <c r="V108" s="94"/>
    </row>
    <row r="109" spans="7:22">
      <c r="G109" s="93"/>
      <c r="O109" s="93"/>
      <c r="V109" s="94"/>
    </row>
    <row r="110" spans="7:22">
      <c r="G110" s="93"/>
      <c r="O110" s="93"/>
      <c r="V110" s="94"/>
    </row>
    <row r="111" spans="7:22">
      <c r="G111" s="93"/>
      <c r="O111" s="93"/>
      <c r="V111" s="94"/>
    </row>
    <row r="112" spans="7:22">
      <c r="G112" s="93"/>
      <c r="O112" s="93"/>
      <c r="V112" s="94"/>
    </row>
    <row r="113" spans="7:22">
      <c r="G113" s="93"/>
      <c r="O113" s="93"/>
      <c r="V113" s="94"/>
    </row>
    <row r="114" spans="7:22">
      <c r="G114" s="93"/>
      <c r="O114" s="93"/>
      <c r="V114" s="94"/>
    </row>
    <row r="115" spans="7:22">
      <c r="G115" s="93"/>
      <c r="O115" s="93"/>
      <c r="V115" s="94"/>
    </row>
    <row r="116" spans="7:22">
      <c r="G116" s="93"/>
      <c r="O116" s="93"/>
      <c r="V116" s="94"/>
    </row>
    <row r="117" spans="7:22">
      <c r="G117" s="93"/>
      <c r="O117" s="93"/>
      <c r="V117" s="94"/>
    </row>
    <row r="118" spans="7:22">
      <c r="G118" s="93"/>
      <c r="O118" s="93"/>
      <c r="V118" s="94"/>
    </row>
    <row r="119" spans="7:22">
      <c r="G119" s="93"/>
      <c r="O119" s="93"/>
      <c r="V119" s="94"/>
    </row>
    <row r="120" spans="7:22">
      <c r="G120" s="93"/>
      <c r="O120" s="93"/>
      <c r="V120" s="94"/>
    </row>
    <row r="121" spans="7:22">
      <c r="G121" s="93"/>
      <c r="O121" s="93"/>
      <c r="V121" s="94"/>
    </row>
    <row r="122" spans="7:22">
      <c r="G122" s="93"/>
      <c r="O122" s="93"/>
      <c r="V122" s="94"/>
    </row>
    <row r="123" spans="7:22">
      <c r="G123" s="93"/>
      <c r="O123" s="93"/>
      <c r="V123" s="94"/>
    </row>
    <row r="124" spans="7:22">
      <c r="G124" s="93"/>
      <c r="O124" s="93"/>
      <c r="V124" s="94"/>
    </row>
    <row r="125" spans="7:22">
      <c r="G125" s="93"/>
      <c r="O125" s="93"/>
      <c r="V125" s="94"/>
    </row>
    <row r="126" spans="7:22">
      <c r="G126" s="93"/>
      <c r="O126" s="93"/>
      <c r="V126" s="94"/>
    </row>
    <row r="127" spans="7:22">
      <c r="G127" s="93"/>
      <c r="O127" s="93"/>
      <c r="V127" s="94"/>
    </row>
    <row r="128" spans="7:22">
      <c r="G128" s="93"/>
      <c r="O128" s="93"/>
      <c r="V128" s="94"/>
    </row>
    <row r="129" spans="7:22">
      <c r="G129" s="93"/>
      <c r="O129" s="93"/>
      <c r="V129" s="94"/>
    </row>
    <row r="130" spans="7:22">
      <c r="G130" s="93"/>
      <c r="O130" s="93"/>
      <c r="V130" s="94"/>
    </row>
    <row r="131" spans="7:22">
      <c r="G131" s="93"/>
      <c r="O131" s="93"/>
      <c r="V131" s="94"/>
    </row>
    <row r="132" spans="7:22">
      <c r="G132" s="93"/>
      <c r="O132" s="93"/>
      <c r="V132" s="94"/>
    </row>
    <row r="133" spans="7:22">
      <c r="G133" s="93"/>
      <c r="O133" s="93"/>
      <c r="V133" s="94"/>
    </row>
    <row r="134" spans="7:22">
      <c r="G134" s="93"/>
      <c r="O134" s="93"/>
      <c r="V134" s="94"/>
    </row>
    <row r="135" spans="7:22">
      <c r="G135" s="93"/>
      <c r="O135" s="93"/>
      <c r="V135" s="94"/>
    </row>
    <row r="136" spans="7:22">
      <c r="G136" s="93"/>
      <c r="O136" s="93"/>
      <c r="V136" s="94"/>
    </row>
    <row r="137" spans="7:22">
      <c r="G137" s="93"/>
      <c r="O137" s="93"/>
      <c r="V137" s="94"/>
    </row>
    <row r="138" spans="7:22">
      <c r="G138" s="93"/>
      <c r="O138" s="93"/>
      <c r="V138" s="94"/>
    </row>
    <row r="139" spans="7:22">
      <c r="G139" s="93"/>
      <c r="O139" s="93"/>
      <c r="V139" s="94"/>
    </row>
    <row r="140" spans="7:22">
      <c r="G140" s="93"/>
      <c r="O140" s="93"/>
      <c r="V140" s="94"/>
    </row>
    <row r="141" spans="7:22">
      <c r="G141" s="93"/>
      <c r="O141" s="93"/>
      <c r="V141" s="94"/>
    </row>
    <row r="142" spans="7:22">
      <c r="G142" s="93"/>
      <c r="O142" s="93"/>
      <c r="V142" s="94"/>
    </row>
    <row r="143" spans="7:22">
      <c r="G143" s="93"/>
      <c r="O143" s="93"/>
      <c r="V143" s="94"/>
    </row>
    <row r="144" spans="7:22">
      <c r="G144" s="93"/>
      <c r="O144" s="93"/>
      <c r="V144" s="94"/>
    </row>
    <row r="145" spans="7:22">
      <c r="G145" s="93"/>
      <c r="O145" s="93"/>
      <c r="V145" s="94"/>
    </row>
    <row r="146" spans="7:22">
      <c r="G146" s="93"/>
      <c r="O146" s="93"/>
      <c r="V146" s="94"/>
    </row>
    <row r="147" spans="7:22">
      <c r="G147" s="93"/>
      <c r="O147" s="93"/>
      <c r="V147" s="94"/>
    </row>
    <row r="148" spans="7:22">
      <c r="G148" s="93"/>
      <c r="O148" s="93"/>
      <c r="V148" s="94"/>
    </row>
    <row r="149" spans="7:22">
      <c r="G149" s="93"/>
      <c r="O149" s="93"/>
      <c r="V149" s="94"/>
    </row>
    <row r="150" spans="7:22">
      <c r="G150" s="93"/>
      <c r="O150" s="93"/>
      <c r="V150" s="94"/>
    </row>
    <row r="151" spans="7:22">
      <c r="G151" s="93"/>
      <c r="O151" s="93"/>
      <c r="V151" s="94"/>
    </row>
    <row r="152" spans="7:22">
      <c r="G152" s="93"/>
      <c r="O152" s="93"/>
      <c r="V152" s="94"/>
    </row>
    <row r="153" spans="7:22">
      <c r="G153" s="93"/>
      <c r="O153" s="93"/>
      <c r="V153" s="94"/>
    </row>
    <row r="154" spans="7:22">
      <c r="G154" s="93"/>
      <c r="O154" s="93"/>
      <c r="V154" s="94"/>
    </row>
    <row r="155" spans="7:22">
      <c r="G155" s="93"/>
      <c r="O155" s="93"/>
      <c r="V155" s="94"/>
    </row>
    <row r="156" spans="7:22">
      <c r="G156" s="93"/>
      <c r="O156" s="93"/>
      <c r="V156" s="94"/>
    </row>
    <row r="157" spans="7:22">
      <c r="G157" s="93"/>
      <c r="O157" s="93"/>
      <c r="V157" s="94"/>
    </row>
    <row r="158" spans="7:22">
      <c r="G158" s="93"/>
      <c r="O158" s="93"/>
      <c r="V158" s="94"/>
    </row>
    <row r="159" spans="7:22">
      <c r="G159" s="93"/>
      <c r="O159" s="93"/>
      <c r="V159" s="94"/>
    </row>
    <row r="160" spans="7:22">
      <c r="G160" s="93"/>
      <c r="O160" s="93"/>
      <c r="V160" s="94"/>
    </row>
    <row r="161" spans="7:22">
      <c r="G161" s="93"/>
      <c r="O161" s="93"/>
      <c r="V161" s="94"/>
    </row>
    <row r="162" spans="7:22">
      <c r="G162" s="93"/>
      <c r="O162" s="93"/>
      <c r="V162" s="94"/>
    </row>
    <row r="163" spans="7:22">
      <c r="G163" s="93"/>
      <c r="O163" s="93"/>
      <c r="V163" s="94"/>
    </row>
    <row r="164" spans="7:22">
      <c r="G164" s="93"/>
      <c r="O164" s="93"/>
      <c r="V164" s="94"/>
    </row>
    <row r="165" spans="7:22">
      <c r="G165" s="93"/>
      <c r="O165" s="93"/>
      <c r="V165" s="94"/>
    </row>
    <row r="166" spans="7:22">
      <c r="G166" s="93"/>
      <c r="O166" s="93"/>
      <c r="V166" s="94"/>
    </row>
    <row r="167" spans="7:22">
      <c r="G167" s="93"/>
      <c r="O167" s="93"/>
      <c r="V167" s="94"/>
    </row>
    <row r="168" spans="7:22">
      <c r="G168" s="93"/>
      <c r="O168" s="93"/>
      <c r="V168" s="94"/>
    </row>
    <row r="169" spans="7:22">
      <c r="G169" s="93"/>
      <c r="O169" s="93"/>
      <c r="V169" s="94"/>
    </row>
    <row r="170" spans="7:22">
      <c r="G170" s="93"/>
      <c r="O170" s="93"/>
      <c r="V170" s="94"/>
    </row>
    <row r="171" spans="7:22">
      <c r="G171" s="93"/>
      <c r="O171" s="93"/>
      <c r="V171" s="94"/>
    </row>
    <row r="172" spans="7:22">
      <c r="G172" s="93"/>
      <c r="O172" s="93"/>
      <c r="V172" s="94"/>
    </row>
    <row r="173" spans="7:22">
      <c r="G173" s="93"/>
      <c r="O173" s="93"/>
      <c r="V173" s="94"/>
    </row>
    <row r="174" spans="7:22">
      <c r="G174" s="93"/>
      <c r="O174" s="93"/>
      <c r="V174" s="94"/>
    </row>
    <row r="175" spans="7:22">
      <c r="G175" s="93"/>
      <c r="O175" s="93"/>
      <c r="V175" s="94"/>
    </row>
    <row r="176" spans="7:22">
      <c r="G176" s="93"/>
      <c r="O176" s="93"/>
      <c r="V176" s="94"/>
    </row>
    <row r="177" spans="7:22">
      <c r="G177" s="93"/>
      <c r="O177" s="93"/>
      <c r="V177" s="94"/>
    </row>
    <row r="178" spans="7:22">
      <c r="G178" s="93"/>
      <c r="O178" s="93"/>
      <c r="V178" s="94"/>
    </row>
    <row r="179" spans="7:22">
      <c r="G179" s="93"/>
      <c r="O179" s="93"/>
      <c r="V179" s="94"/>
    </row>
    <row r="180" spans="7:22">
      <c r="G180" s="93"/>
      <c r="O180" s="93"/>
      <c r="V180" s="94"/>
    </row>
    <row r="181" spans="7:22">
      <c r="G181" s="93"/>
      <c r="O181" s="93"/>
      <c r="V181" s="94"/>
    </row>
    <row r="182" spans="7:22">
      <c r="G182" s="93"/>
      <c r="O182" s="93"/>
      <c r="V182" s="94"/>
    </row>
    <row r="183" spans="7:22">
      <c r="G183" s="93"/>
      <c r="O183" s="93"/>
      <c r="V183" s="94"/>
    </row>
    <row r="184" spans="7:22">
      <c r="G184" s="93"/>
      <c r="O184" s="93"/>
      <c r="V184" s="94"/>
    </row>
    <row r="185" spans="7:22">
      <c r="G185" s="93"/>
      <c r="O185" s="93"/>
      <c r="V185" s="94"/>
    </row>
    <row r="186" spans="7:22">
      <c r="G186" s="93"/>
      <c r="O186" s="93"/>
      <c r="V186" s="94"/>
    </row>
    <row r="187" spans="7:22">
      <c r="G187" s="93"/>
      <c r="O187" s="93"/>
      <c r="V187" s="94"/>
    </row>
    <row r="188" spans="7:22">
      <c r="G188" s="93"/>
      <c r="O188" s="93"/>
      <c r="V188" s="94"/>
    </row>
    <row r="189" spans="7:22">
      <c r="G189" s="93"/>
      <c r="O189" s="93"/>
      <c r="V189" s="94"/>
    </row>
    <row r="190" spans="7:22">
      <c r="G190" s="93"/>
      <c r="O190" s="93"/>
      <c r="V190" s="94"/>
    </row>
    <row r="191" spans="7:22">
      <c r="G191" s="93"/>
      <c r="O191" s="93"/>
      <c r="V191" s="94"/>
    </row>
    <row r="192" spans="7:22">
      <c r="G192" s="93"/>
      <c r="O192" s="93"/>
      <c r="V192" s="94"/>
    </row>
    <row r="193" spans="7:22">
      <c r="G193" s="93"/>
      <c r="O193" s="93"/>
      <c r="V193" s="94"/>
    </row>
    <row r="194" spans="7:22">
      <c r="G194" s="93"/>
      <c r="O194" s="93"/>
      <c r="V194" s="94"/>
    </row>
    <row r="195" spans="7:22">
      <c r="G195" s="93"/>
      <c r="O195" s="93"/>
    </row>
    <row r="196" spans="7:22">
      <c r="G196" s="93"/>
      <c r="O196" s="93"/>
    </row>
    <row r="197" spans="7:22">
      <c r="G197" s="93"/>
      <c r="O197" s="93"/>
    </row>
    <row r="198" spans="7:22">
      <c r="G198" s="93"/>
      <c r="O198" s="93"/>
    </row>
    <row r="199" spans="7:22">
      <c r="G199" s="93"/>
      <c r="O199" s="93"/>
    </row>
    <row r="200" spans="7:22">
      <c r="G200" s="93"/>
      <c r="O200" s="93"/>
    </row>
    <row r="201" spans="7:22">
      <c r="G201" s="93"/>
      <c r="O201" s="93"/>
    </row>
    <row r="202" spans="7:22">
      <c r="G202" s="93"/>
      <c r="O202" s="93"/>
    </row>
    <row r="203" spans="7:22">
      <c r="G203" s="93"/>
      <c r="O203" s="93"/>
    </row>
  </sheetData>
  <phoneticPr fontId="8" type="noConversion"/>
  <dataValidations count="1">
    <dataValidation type="list" allowBlank="1" showInputMessage="1" showErrorMessage="1" sqref="A11:A38" xr:uid="{5C8EFBDA-005D-4088-A00C-F6C183A2275A}">
      <formula1>$A$2:$A$5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B13FBC29-5511-4637-A630-529458C9B5BB}">
          <x14:formula1>
            <xm:f>Lookup!$A$2:$A$2</xm:f>
          </x14:formula1>
          <xm:sqref>A2:A10</xm:sqref>
        </x14:dataValidation>
        <x14:dataValidation type="list" allowBlank="1" showInputMessage="1" showErrorMessage="1" xr:uid="{290CE98E-EC49-4897-9678-AAE85ADF6523}">
          <x14:formula1>
            <xm:f>Lookup!$C$2:$C$18</xm:f>
          </x14:formula1>
          <xm:sqref>B2:B10</xm:sqref>
        </x14:dataValidation>
        <x14:dataValidation type="list" allowBlank="1" showInputMessage="1" showErrorMessage="1" xr:uid="{F737D149-FF48-4062-B05F-A858A58A0DF2}">
          <x14:formula1>
            <xm:f>Lookup!$E$2:$E$4</xm:f>
          </x14:formula1>
          <xm:sqref>C2:C10</xm:sqref>
        </x14:dataValidation>
        <x14:dataValidation type="list" allowBlank="1" showInputMessage="1" showErrorMessage="1" xr:uid="{248D3C84-2EDC-4075-9521-6906EE82547C}">
          <x14:formula1>
            <xm:f>Lookup!$G$2:$G$6</xm:f>
          </x14:formula1>
          <xm:sqref>D2:D10</xm:sqref>
        </x14:dataValidation>
        <x14:dataValidation type="list" allowBlank="1" showInputMessage="1" showErrorMessage="1" xr:uid="{FE9A3419-B839-4DE4-B19B-529E80B346A0}">
          <x14:formula1>
            <xm:f>Lookup!$P$2:$P$20</xm:f>
          </x14:formula1>
          <xm:sqref>E2:E10</xm:sqref>
        </x14:dataValidation>
        <x14:dataValidation type="list" allowBlank="1" showInputMessage="1" showErrorMessage="1" xr:uid="{7FBFF2F4-AFF2-43D5-82B1-DD88C5884E7A}">
          <x14:formula1>
            <xm:f>Lookup!$K$2:$K$4</xm:f>
          </x14:formula1>
          <xm:sqref>N2:N11 F2:F10</xm:sqref>
        </x14:dataValidation>
        <x14:dataValidation type="list" allowBlank="1" showInputMessage="1" showErrorMessage="1" xr:uid="{471F001F-F6A1-458D-8F6E-E1989CD81DB6}">
          <x14:formula1>
            <xm:f>Lookup!$I$2:$I$9</xm:f>
          </x14:formula1>
          <xm:sqref>K2:K10</xm:sqref>
        </x14:dataValidation>
        <x14:dataValidation type="list" allowBlank="1" showInputMessage="1" showErrorMessage="1" xr:uid="{8FAADD8A-2D59-4816-A26F-E7D173A75676}">
          <x14:formula1>
            <xm:f>Lookup!$L$2:$L$4</xm:f>
          </x14:formula1>
          <xm:sqref>L2:L10</xm:sqref>
        </x14:dataValidation>
        <x14:dataValidation type="list" allowBlank="1" showInputMessage="1" showErrorMessage="1" xr:uid="{C96DDBE4-5DDD-4C18-BDBB-90AD5C03785B}">
          <x14:formula1>
            <xm:f>Lookup!$N$2:$N$4</xm:f>
          </x14:formula1>
          <xm:sqref>M2:M11</xm:sqref>
        </x14:dataValidation>
        <x14:dataValidation type="list" allowBlank="1" showInputMessage="1" showErrorMessage="1" xr:uid="{851CC4FD-6149-4624-BE6D-9B1E1EFF5F11}">
          <x14:formula1>
            <xm:f>Lookup!$S$2:$S$8</xm:f>
          </x14:formula1>
          <xm:sqref>AI2:AI14</xm:sqref>
        </x14:dataValidation>
        <x14:dataValidation type="list" allowBlank="1" showInputMessage="1" showErrorMessage="1" xr:uid="{6548FE99-CBAB-434F-B318-A5104A2913C8}">
          <x14:formula1>
            <xm:f>Lookup!$T$2:$T$4</xm:f>
          </x14:formula1>
          <xm:sqref>AM2:AM14</xm:sqref>
        </x14:dataValidation>
        <x14:dataValidation type="list" allowBlank="1" showInputMessage="1" showErrorMessage="1" xr:uid="{771DA812-DE72-4456-9F64-E18FD3924D40}">
          <x14:formula1>
            <xm:f>Lookup!$U$2:$U$4</xm:f>
          </x14:formula1>
          <xm:sqref>Y2:Y1048576 Z24:AA1048576</xm:sqref>
        </x14:dataValidation>
        <x14:dataValidation type="list" allowBlank="1" showInputMessage="1" showErrorMessage="1" xr:uid="{C998B59A-D574-4196-8318-A56A18507445}">
          <x14:formula1>
            <xm:f>Lookup!$O$2:$O$8</xm:f>
          </x14:formula1>
          <xm:sqref>S2:S14</xm:sqref>
        </x14:dataValidation>
        <x14:dataValidation type="list" allowBlank="1" showInputMessage="1" showErrorMessage="1" xr:uid="{04ABF209-6668-F845-A747-115DECBC0D04}">
          <x14:formula1>
            <xm:f>Lookup!$Q$2:$Q$7</xm:f>
          </x14:formula1>
          <xm:sqref>AG2:AG183 AH2:AH175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B871-A686-440D-B472-B5E3630A47C8}">
  <dimension ref="A1:AU9"/>
  <sheetViews>
    <sheetView tabSelected="1" workbookViewId="0">
      <selection activeCell="T22" sqref="T22"/>
    </sheetView>
  </sheetViews>
  <sheetFormatPr defaultColWidth="8.81640625" defaultRowHeight="14.5"/>
  <cols>
    <col min="1" max="1" width="14.453125" customWidth="1"/>
    <col min="2" max="2" width="8.90625" customWidth="1"/>
    <col min="3" max="3" width="15.08984375" customWidth="1"/>
    <col min="4" max="4" width="7.36328125" customWidth="1"/>
    <col min="5" max="5" width="15.1796875" customWidth="1"/>
    <col min="6" max="6" width="21.54296875" customWidth="1"/>
    <col min="7" max="7" width="26.453125" style="70" bestFit="1" customWidth="1"/>
    <col min="8" max="8" width="19.54296875" customWidth="1"/>
    <col min="9" max="9" width="18.453125" customWidth="1"/>
    <col min="10" max="10" width="19.81640625" customWidth="1"/>
    <col min="11" max="11" width="20.6328125" customWidth="1"/>
    <col min="12" max="12" width="21.81640625" customWidth="1"/>
    <col min="13" max="13" width="15.453125" customWidth="1"/>
    <col min="14" max="14" width="18.26953125" customWidth="1"/>
    <col min="15" max="15" width="19.54296875" customWidth="1"/>
    <col min="16" max="16" width="17.26953125" customWidth="1"/>
    <col min="17" max="17" width="16.1796875" customWidth="1"/>
    <col min="18" max="18" width="17.54296875" customWidth="1"/>
    <col min="19" max="19" width="26.1796875" customWidth="1"/>
    <col min="20" max="20" width="18.26953125" customWidth="1"/>
    <col min="21" max="21" width="19.36328125" customWidth="1"/>
    <col min="22" max="22" width="29" customWidth="1"/>
    <col min="23" max="24" width="18.26953125" customWidth="1"/>
    <col min="25" max="25" width="19.26953125" customWidth="1"/>
    <col min="26" max="26" width="22.1796875" customWidth="1"/>
    <col min="27" max="27" width="26" customWidth="1"/>
    <col min="28" max="28" width="18.81640625" customWidth="1"/>
    <col min="29" max="29" width="27.1796875" customWidth="1"/>
    <col min="30" max="30" width="28.453125" customWidth="1"/>
    <col min="31" max="31" width="29.453125" customWidth="1"/>
    <col min="32" max="32" width="9.453125" customWidth="1"/>
    <col min="33" max="33" width="10.36328125" customWidth="1"/>
    <col min="34" max="34" width="12.26953125" customWidth="1"/>
    <col min="35" max="35" width="15.453125" bestFit="1" customWidth="1"/>
    <col min="36" max="36" width="16" bestFit="1" customWidth="1"/>
    <col min="37" max="37" width="8.26953125" bestFit="1" customWidth="1"/>
    <col min="38" max="38" width="10.453125" customWidth="1"/>
    <col min="39" max="39" width="21.81640625" bestFit="1" customWidth="1"/>
    <col min="40" max="40" width="23" bestFit="1" customWidth="1"/>
    <col min="41" max="41" width="24.453125" bestFit="1" customWidth="1"/>
    <col min="42" max="42" width="17.1796875" customWidth="1"/>
    <col min="43" max="43" width="22.26953125" customWidth="1"/>
    <col min="44" max="44" width="23.36328125" customWidth="1"/>
    <col min="45" max="45" width="24.90625" customWidth="1"/>
    <col min="47" max="47" width="12.6328125" customWidth="1"/>
  </cols>
  <sheetData>
    <row r="1" spans="1:47" ht="15" thickBot="1">
      <c r="A1" s="52" t="s">
        <v>262</v>
      </c>
      <c r="B1" s="53" t="s">
        <v>5</v>
      </c>
      <c r="C1" s="53" t="s">
        <v>254</v>
      </c>
      <c r="D1" s="54" t="s">
        <v>18</v>
      </c>
      <c r="E1" s="53" t="s">
        <v>57</v>
      </c>
      <c r="F1" s="55" t="s">
        <v>209</v>
      </c>
      <c r="G1" s="69" t="s">
        <v>253</v>
      </c>
      <c r="H1" s="56" t="s">
        <v>211</v>
      </c>
      <c r="I1" s="56" t="s">
        <v>212</v>
      </c>
      <c r="J1" s="56" t="s">
        <v>213</v>
      </c>
      <c r="K1" s="57" t="s">
        <v>214</v>
      </c>
      <c r="L1" s="68" t="s">
        <v>215</v>
      </c>
      <c r="M1" s="59" t="s">
        <v>219</v>
      </c>
      <c r="N1" s="60" t="s">
        <v>117</v>
      </c>
      <c r="O1" s="60" t="s">
        <v>111</v>
      </c>
      <c r="P1" s="60" t="s">
        <v>118</v>
      </c>
      <c r="Q1" s="60" t="s">
        <v>21</v>
      </c>
      <c r="R1" s="61" t="s">
        <v>22</v>
      </c>
      <c r="S1" s="84" t="s">
        <v>299</v>
      </c>
      <c r="T1" s="84" t="s">
        <v>126</v>
      </c>
      <c r="U1" s="85" t="s">
        <v>127</v>
      </c>
      <c r="V1" s="86" t="s">
        <v>300</v>
      </c>
      <c r="W1" s="62" t="s">
        <v>3</v>
      </c>
      <c r="X1" s="62" t="s">
        <v>276</v>
      </c>
      <c r="Y1" s="62" t="s">
        <v>277</v>
      </c>
      <c r="Z1" s="62" t="s">
        <v>278</v>
      </c>
      <c r="AA1" s="62" t="s">
        <v>297</v>
      </c>
      <c r="AB1" s="63" t="s">
        <v>263</v>
      </c>
      <c r="AC1" s="63" t="s">
        <v>295</v>
      </c>
      <c r="AD1" s="63" t="s">
        <v>274</v>
      </c>
      <c r="AE1" s="63" t="s">
        <v>264</v>
      </c>
      <c r="AF1" s="63" t="s">
        <v>120</v>
      </c>
      <c r="AG1" s="64" t="s">
        <v>122</v>
      </c>
      <c r="AH1" s="63" t="s">
        <v>124</v>
      </c>
      <c r="AI1" s="65" t="s">
        <v>24</v>
      </c>
      <c r="AJ1" s="63" t="s">
        <v>33</v>
      </c>
      <c r="AK1" s="63" t="s">
        <v>34</v>
      </c>
      <c r="AL1" s="63" t="s">
        <v>25</v>
      </c>
      <c r="AM1" s="66" t="s">
        <v>130</v>
      </c>
      <c r="AN1" s="66" t="s">
        <v>188</v>
      </c>
      <c r="AO1" s="66" t="s">
        <v>132</v>
      </c>
      <c r="AP1" s="66" t="s">
        <v>29</v>
      </c>
      <c r="AQ1" s="66" t="s">
        <v>250</v>
      </c>
      <c r="AR1" s="66" t="s">
        <v>251</v>
      </c>
      <c r="AS1" s="66" t="s">
        <v>252</v>
      </c>
      <c r="AT1" s="67" t="s">
        <v>23</v>
      </c>
      <c r="AU1" s="67" t="s">
        <v>265</v>
      </c>
    </row>
    <row r="2" spans="1:47" hidden="1">
      <c r="A2" t="s">
        <v>305</v>
      </c>
      <c r="B2" t="s">
        <v>8</v>
      </c>
      <c r="C2" t="s">
        <v>315</v>
      </c>
      <c r="E2" t="s">
        <v>100</v>
      </c>
      <c r="F2" t="s">
        <v>182</v>
      </c>
      <c r="G2" s="93">
        <v>45867</v>
      </c>
      <c r="H2" t="s">
        <v>316</v>
      </c>
      <c r="I2">
        <v>438716</v>
      </c>
      <c r="J2">
        <v>4899033</v>
      </c>
      <c r="K2">
        <v>19</v>
      </c>
      <c r="L2" t="s">
        <v>207</v>
      </c>
      <c r="M2" t="s">
        <v>204</v>
      </c>
      <c r="N2" t="s">
        <v>182</v>
      </c>
      <c r="O2" s="93">
        <v>45867</v>
      </c>
      <c r="P2" t="s">
        <v>316</v>
      </c>
      <c r="Q2">
        <v>438716</v>
      </c>
      <c r="R2">
        <v>4899033</v>
      </c>
      <c r="T2" t="s">
        <v>427</v>
      </c>
      <c r="W2" t="s">
        <v>298</v>
      </c>
      <c r="X2" t="s">
        <v>317</v>
      </c>
      <c r="Y2" t="s">
        <v>318</v>
      </c>
      <c r="Z2">
        <v>1645274</v>
      </c>
      <c r="AA2">
        <v>2560</v>
      </c>
      <c r="AB2" t="s">
        <v>428</v>
      </c>
      <c r="AF2" t="s">
        <v>427</v>
      </c>
      <c r="AL2" t="s">
        <v>169</v>
      </c>
      <c r="AM2">
        <v>197</v>
      </c>
      <c r="AN2">
        <v>225</v>
      </c>
      <c r="AP2" t="s">
        <v>134</v>
      </c>
      <c r="AR2">
        <v>74.5</v>
      </c>
      <c r="AS2">
        <v>102.6</v>
      </c>
      <c r="AU2" t="s">
        <v>321</v>
      </c>
    </row>
    <row r="3" spans="1:47">
      <c r="A3" t="s">
        <v>305</v>
      </c>
      <c r="B3" t="s">
        <v>13</v>
      </c>
      <c r="C3" t="s">
        <v>315</v>
      </c>
      <c r="E3" t="s">
        <v>103</v>
      </c>
      <c r="F3" t="s">
        <v>182</v>
      </c>
      <c r="G3" s="93">
        <v>45874</v>
      </c>
      <c r="H3" t="s">
        <v>370</v>
      </c>
      <c r="I3">
        <v>514494</v>
      </c>
      <c r="J3">
        <v>4948116</v>
      </c>
      <c r="K3">
        <v>19</v>
      </c>
      <c r="L3" t="s">
        <v>207</v>
      </c>
      <c r="M3" t="s">
        <v>204</v>
      </c>
      <c r="N3" t="s">
        <v>182</v>
      </c>
      <c r="O3" s="93">
        <v>45874</v>
      </c>
      <c r="P3" t="s">
        <v>370</v>
      </c>
      <c r="Q3">
        <v>514494</v>
      </c>
      <c r="R3">
        <v>4948116</v>
      </c>
      <c r="T3" t="s">
        <v>429</v>
      </c>
      <c r="W3" t="s">
        <v>298</v>
      </c>
      <c r="X3" t="s">
        <v>317</v>
      </c>
      <c r="Y3" t="s">
        <v>318</v>
      </c>
      <c r="Z3">
        <v>1645290</v>
      </c>
      <c r="AA3">
        <v>2560</v>
      </c>
      <c r="AB3" t="s">
        <v>430</v>
      </c>
      <c r="AF3" t="s">
        <v>429</v>
      </c>
      <c r="AL3" t="s">
        <v>169</v>
      </c>
      <c r="AM3">
        <v>91.1</v>
      </c>
      <c r="AN3">
        <v>105</v>
      </c>
      <c r="AP3" t="s">
        <v>134</v>
      </c>
      <c r="AQ3">
        <v>73.099999999999994</v>
      </c>
      <c r="AR3">
        <v>49.1</v>
      </c>
      <c r="AS3">
        <v>59.8</v>
      </c>
      <c r="AU3" t="s">
        <v>321</v>
      </c>
    </row>
    <row r="4" spans="1:47">
      <c r="A4" t="s">
        <v>305</v>
      </c>
      <c r="B4" t="s">
        <v>13</v>
      </c>
      <c r="C4" t="s">
        <v>315</v>
      </c>
      <c r="E4" t="s">
        <v>103</v>
      </c>
      <c r="F4" t="s">
        <v>182</v>
      </c>
      <c r="G4" s="93">
        <v>45874</v>
      </c>
      <c r="H4" t="s">
        <v>370</v>
      </c>
      <c r="I4">
        <v>514494</v>
      </c>
      <c r="J4">
        <v>4948116</v>
      </c>
      <c r="K4">
        <v>19</v>
      </c>
      <c r="L4" t="s">
        <v>207</v>
      </c>
      <c r="M4" t="s">
        <v>204</v>
      </c>
      <c r="N4" t="s">
        <v>182</v>
      </c>
      <c r="O4" s="93">
        <v>45874</v>
      </c>
      <c r="P4" t="s">
        <v>370</v>
      </c>
      <c r="Q4">
        <v>514494</v>
      </c>
      <c r="R4">
        <v>4948116</v>
      </c>
      <c r="T4" t="s">
        <v>431</v>
      </c>
      <c r="W4" t="s">
        <v>298</v>
      </c>
      <c r="X4" t="s">
        <v>317</v>
      </c>
      <c r="Y4" t="s">
        <v>318</v>
      </c>
      <c r="Z4">
        <v>1645293</v>
      </c>
      <c r="AA4">
        <v>2560</v>
      </c>
      <c r="AB4" t="s">
        <v>432</v>
      </c>
      <c r="AF4" t="s">
        <v>431</v>
      </c>
      <c r="AL4" t="s">
        <v>169</v>
      </c>
      <c r="AM4">
        <v>90.3</v>
      </c>
      <c r="AN4">
        <v>104.8</v>
      </c>
      <c r="AP4" t="s">
        <v>134</v>
      </c>
      <c r="AQ4">
        <v>68</v>
      </c>
      <c r="AR4">
        <v>39</v>
      </c>
      <c r="AS4">
        <v>55</v>
      </c>
      <c r="AU4" t="s">
        <v>321</v>
      </c>
    </row>
    <row r="5" spans="1:47">
      <c r="A5" t="s">
        <v>305</v>
      </c>
      <c r="B5" t="s">
        <v>13</v>
      </c>
      <c r="C5" t="s">
        <v>315</v>
      </c>
      <c r="E5" t="s">
        <v>103</v>
      </c>
      <c r="F5" t="s">
        <v>182</v>
      </c>
      <c r="G5" s="93">
        <v>45874</v>
      </c>
      <c r="H5" t="s">
        <v>370</v>
      </c>
      <c r="I5">
        <v>514494</v>
      </c>
      <c r="J5">
        <v>4948116</v>
      </c>
      <c r="K5">
        <v>19</v>
      </c>
      <c r="L5" t="s">
        <v>207</v>
      </c>
      <c r="M5" t="s">
        <v>204</v>
      </c>
      <c r="N5" t="s">
        <v>182</v>
      </c>
      <c r="O5" s="93">
        <v>45874</v>
      </c>
      <c r="P5" t="s">
        <v>370</v>
      </c>
      <c r="Q5">
        <v>514494</v>
      </c>
      <c r="R5">
        <v>4948116</v>
      </c>
      <c r="T5" t="s">
        <v>433</v>
      </c>
      <c r="W5" t="s">
        <v>298</v>
      </c>
      <c r="X5" t="s">
        <v>317</v>
      </c>
      <c r="Y5" t="s">
        <v>318</v>
      </c>
      <c r="Z5">
        <v>1645278</v>
      </c>
      <c r="AA5">
        <v>2560</v>
      </c>
      <c r="AB5" t="s">
        <v>434</v>
      </c>
      <c r="AF5" t="s">
        <v>433</v>
      </c>
      <c r="AL5" t="s">
        <v>169</v>
      </c>
      <c r="AM5">
        <v>89</v>
      </c>
      <c r="AN5">
        <v>100.4</v>
      </c>
      <c r="AP5" t="s">
        <v>134</v>
      </c>
      <c r="AQ5">
        <v>67</v>
      </c>
      <c r="AR5">
        <v>38</v>
      </c>
      <c r="AS5">
        <v>59</v>
      </c>
      <c r="AU5" t="s">
        <v>321</v>
      </c>
    </row>
    <row r="6" spans="1:47">
      <c r="A6" t="s">
        <v>305</v>
      </c>
      <c r="B6" t="s">
        <v>13</v>
      </c>
      <c r="C6" t="s">
        <v>315</v>
      </c>
      <c r="E6" t="s">
        <v>103</v>
      </c>
      <c r="F6" t="s">
        <v>182</v>
      </c>
      <c r="G6" s="93">
        <v>45874</v>
      </c>
      <c r="H6" t="s">
        <v>370</v>
      </c>
      <c r="I6">
        <v>514494</v>
      </c>
      <c r="J6">
        <v>4948116</v>
      </c>
      <c r="K6">
        <v>19</v>
      </c>
      <c r="L6" t="s">
        <v>207</v>
      </c>
      <c r="M6" t="s">
        <v>204</v>
      </c>
      <c r="N6" t="s">
        <v>182</v>
      </c>
      <c r="O6" s="93">
        <v>45874</v>
      </c>
      <c r="P6" t="s">
        <v>370</v>
      </c>
      <c r="Q6">
        <v>514494</v>
      </c>
      <c r="R6">
        <v>4948116</v>
      </c>
      <c r="T6" t="s">
        <v>435</v>
      </c>
      <c r="W6" t="s">
        <v>298</v>
      </c>
      <c r="X6" t="s">
        <v>317</v>
      </c>
      <c r="Y6" t="s">
        <v>318</v>
      </c>
      <c r="Z6">
        <v>1645280</v>
      </c>
      <c r="AA6">
        <v>2560</v>
      </c>
      <c r="AB6" t="s">
        <v>436</v>
      </c>
      <c r="AF6" t="s">
        <v>435</v>
      </c>
      <c r="AL6" t="s">
        <v>169</v>
      </c>
      <c r="AM6">
        <v>86.8</v>
      </c>
      <c r="AN6">
        <v>101</v>
      </c>
      <c r="AP6" t="s">
        <v>134</v>
      </c>
      <c r="AQ6">
        <v>62</v>
      </c>
      <c r="AR6">
        <v>47</v>
      </c>
      <c r="AS6">
        <v>54</v>
      </c>
      <c r="AU6" t="s">
        <v>321</v>
      </c>
    </row>
    <row r="7" spans="1:47" hidden="1">
      <c r="A7" t="s">
        <v>305</v>
      </c>
      <c r="B7" t="s">
        <v>8</v>
      </c>
      <c r="C7" t="s">
        <v>315</v>
      </c>
      <c r="E7" t="s">
        <v>103</v>
      </c>
      <c r="F7" t="s">
        <v>182</v>
      </c>
      <c r="G7" s="93">
        <v>46252</v>
      </c>
      <c r="H7" t="s">
        <v>370</v>
      </c>
      <c r="I7">
        <v>514494</v>
      </c>
      <c r="J7">
        <v>4948116</v>
      </c>
      <c r="K7">
        <v>19</v>
      </c>
      <c r="L7" t="s">
        <v>207</v>
      </c>
      <c r="M7" t="s">
        <v>204</v>
      </c>
      <c r="N7" t="s">
        <v>182</v>
      </c>
      <c r="O7" s="93">
        <v>46252</v>
      </c>
      <c r="P7" t="s">
        <v>370</v>
      </c>
      <c r="Q7">
        <v>514494</v>
      </c>
      <c r="R7">
        <v>4948116</v>
      </c>
      <c r="T7" t="s">
        <v>437</v>
      </c>
      <c r="W7" t="s">
        <v>298</v>
      </c>
      <c r="X7" t="s">
        <v>317</v>
      </c>
      <c r="Y7" t="s">
        <v>318</v>
      </c>
      <c r="Z7">
        <v>1645295</v>
      </c>
      <c r="AA7">
        <v>2560</v>
      </c>
      <c r="AB7" t="s">
        <v>438</v>
      </c>
      <c r="AF7" t="s">
        <v>437</v>
      </c>
      <c r="AL7" t="s">
        <v>169</v>
      </c>
      <c r="AM7">
        <v>176.2</v>
      </c>
      <c r="AN7">
        <v>210</v>
      </c>
      <c r="AP7" t="s">
        <v>134</v>
      </c>
      <c r="AQ7">
        <v>176</v>
      </c>
      <c r="AR7">
        <v>69</v>
      </c>
      <c r="AS7">
        <v>112</v>
      </c>
      <c r="AT7" t="s">
        <v>439</v>
      </c>
      <c r="AU7" t="s">
        <v>321</v>
      </c>
    </row>
    <row r="8" spans="1:47" hidden="1">
      <c r="A8" t="s">
        <v>35</v>
      </c>
      <c r="B8" t="s">
        <v>8</v>
      </c>
      <c r="C8" t="s">
        <v>315</v>
      </c>
      <c r="E8" t="s">
        <v>103</v>
      </c>
      <c r="F8" t="s">
        <v>182</v>
      </c>
      <c r="G8" s="93">
        <v>46252</v>
      </c>
      <c r="H8" t="s">
        <v>370</v>
      </c>
      <c r="I8">
        <v>514494</v>
      </c>
      <c r="J8">
        <v>4948116</v>
      </c>
      <c r="K8">
        <v>19</v>
      </c>
      <c r="L8" t="s">
        <v>207</v>
      </c>
      <c r="M8" t="s">
        <v>204</v>
      </c>
      <c r="N8" t="s">
        <v>182</v>
      </c>
      <c r="O8" s="93">
        <v>46252</v>
      </c>
      <c r="P8" t="s">
        <v>370</v>
      </c>
      <c r="Q8">
        <v>514494</v>
      </c>
      <c r="R8">
        <v>4948116</v>
      </c>
      <c r="T8" t="s">
        <v>399</v>
      </c>
      <c r="W8" t="s">
        <v>4</v>
      </c>
      <c r="AF8" t="s">
        <v>399</v>
      </c>
      <c r="AL8" t="s">
        <v>169</v>
      </c>
      <c r="AM8">
        <v>90.4</v>
      </c>
      <c r="AN8">
        <v>104.6</v>
      </c>
      <c r="AP8" t="s">
        <v>134</v>
      </c>
      <c r="AQ8">
        <v>72.900000000000006</v>
      </c>
      <c r="AR8">
        <v>35.1</v>
      </c>
      <c r="AS8">
        <v>52.4</v>
      </c>
      <c r="AT8" t="s">
        <v>440</v>
      </c>
      <c r="AU8" t="s">
        <v>321</v>
      </c>
    </row>
    <row r="9" spans="1:47">
      <c r="O9" s="70"/>
    </row>
  </sheetData>
  <dataValidations count="1">
    <dataValidation type="list" allowBlank="1" showInputMessage="1" showErrorMessage="1" sqref="A9:A36" xr:uid="{FDDEFF78-3C58-4AEE-AE4D-7D9B81D0D84C}">
      <formula1>$A$2:$A$5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B5B5739A-22F8-42BC-B6D3-3ED51687717F}">
          <x14:formula1>
            <xm:f>Lookup!$A$2:$A$5</xm:f>
          </x14:formula1>
          <xm:sqref>A8</xm:sqref>
        </x14:dataValidation>
        <x14:dataValidation type="list" allowBlank="1" showInputMessage="1" showErrorMessage="1" xr:uid="{6B6192EE-6502-48AA-9E72-B57BB9699243}">
          <x14:formula1>
            <xm:f>Lookup!$O$2:$O$7</xm:f>
          </x14:formula1>
          <xm:sqref>S6:T11 W8:W11</xm:sqref>
        </x14:dataValidation>
        <x14:dataValidation type="list" allowBlank="1" showInputMessage="1" showErrorMessage="1" xr:uid="{CB343782-97C4-4924-9B2E-7B2202AABC3E}">
          <x14:formula1>
            <xm:f>Lookup!$T$2:$T$4</xm:f>
          </x14:formula1>
          <xm:sqref>AP2:AP12</xm:sqref>
        </x14:dataValidation>
        <x14:dataValidation type="list" allowBlank="1" showInputMessage="1" showErrorMessage="1" xr:uid="{4D4E3BD2-043F-4906-B2C5-4D3850F56229}">
          <x14:formula1>
            <xm:f>Lookup!$S$2:$S$8</xm:f>
          </x14:formula1>
          <xm:sqref>AL2:AL12</xm:sqref>
        </x14:dataValidation>
        <x14:dataValidation type="list" allowBlank="1" showInputMessage="1" showErrorMessage="1" xr:uid="{AE4B5242-434B-448E-9DAD-6778150AD876}">
          <x14:formula1>
            <xm:f>Lookup!$Q$2:$Q$5</xm:f>
          </x14:formula1>
          <xm:sqref>AJ2:AK11</xm:sqref>
        </x14:dataValidation>
        <x14:dataValidation type="list" allowBlank="1" showInputMessage="1" showErrorMessage="1" xr:uid="{859EAF43-3C3E-43C8-B4F3-07CD0B162768}">
          <x14:formula1>
            <xm:f>Lookup!$N$2:$N$4</xm:f>
          </x14:formula1>
          <xm:sqref>M2:M9</xm:sqref>
        </x14:dataValidation>
        <x14:dataValidation type="list" allowBlank="1" showInputMessage="1" showErrorMessage="1" xr:uid="{5630C6E6-F1AD-43B4-904F-FB0C338A54F8}">
          <x14:formula1>
            <xm:f>Lookup!$L$2:$L$4</xm:f>
          </x14:formula1>
          <xm:sqref>L2:L8</xm:sqref>
        </x14:dataValidation>
        <x14:dataValidation type="list" allowBlank="1" showInputMessage="1" showErrorMessage="1" xr:uid="{8EE89260-FBDE-4316-BCDF-61E4BB0FC247}">
          <x14:formula1>
            <xm:f>Lookup!$I$2:$I$9</xm:f>
          </x14:formula1>
          <xm:sqref>K2:K8</xm:sqref>
        </x14:dataValidation>
        <x14:dataValidation type="list" allowBlank="1" showInputMessage="1" showErrorMessage="1" xr:uid="{ADE161D8-729E-42AB-A974-7DDB43A8DF29}">
          <x14:formula1>
            <xm:f>Lookup!$K$2:$K$4</xm:f>
          </x14:formula1>
          <xm:sqref>F2:F8 N2:N9</xm:sqref>
        </x14:dataValidation>
        <x14:dataValidation type="list" allowBlank="1" showInputMessage="1" showErrorMessage="1" xr:uid="{F18186C2-EB7F-486E-8D6A-613DAA0A8F70}">
          <x14:formula1>
            <xm:f>Lookup!$P$2:$P$20</xm:f>
          </x14:formula1>
          <xm:sqref>E2:E8</xm:sqref>
        </x14:dataValidation>
        <x14:dataValidation type="list" allowBlank="1" showInputMessage="1" showErrorMessage="1" xr:uid="{EFEE8D41-4B8D-42E9-BCAF-0E57FD2576C1}">
          <x14:formula1>
            <xm:f>Lookup!$G$2:$G$6</xm:f>
          </x14:formula1>
          <xm:sqref>D2:D8</xm:sqref>
        </x14:dataValidation>
        <x14:dataValidation type="list" allowBlank="1" showInputMessage="1" showErrorMessage="1" xr:uid="{CF4969AD-441E-45C1-8D59-4CBF0E4AB074}">
          <x14:formula1>
            <xm:f>Lookup!$E$2:$E$4</xm:f>
          </x14:formula1>
          <xm:sqref>C2:C8</xm:sqref>
        </x14:dataValidation>
        <x14:dataValidation type="list" allowBlank="1" showInputMessage="1" showErrorMessage="1" xr:uid="{ABE1DB40-C082-4E86-A0CB-C68AEFF2F83E}">
          <x14:formula1>
            <xm:f>Lookup!$C$2:$C$18</xm:f>
          </x14:formula1>
          <xm:sqref>B2:B8</xm:sqref>
        </x14:dataValidation>
        <x14:dataValidation type="list" allowBlank="1" showInputMessage="1" showErrorMessage="1" xr:uid="{D4B061FA-69A1-4617-9198-3634DC761E13}">
          <x14:formula1>
            <xm:f>Lookup!$O$2:$O$8</xm:f>
          </x14:formula1>
          <xm:sqref>W2:W7</xm:sqref>
        </x14:dataValidation>
        <x14:dataValidation type="list" allowBlank="1" showInputMessage="1" showErrorMessage="1" xr:uid="{155F5957-F15D-40DE-952E-6CD728E241B9}">
          <x14:formula1>
            <xm:f>Lookup!$A$3:$A$4</xm:f>
          </x14:formula1>
          <xm:sqref>A2:A7</xm:sqref>
        </x14:dataValidation>
        <x14:dataValidation type="list" allowBlank="1" showInputMessage="1" showErrorMessage="1" xr:uid="{12F8E759-2F2A-46AB-AA2C-605EA7C5F1DB}">
          <x14:formula1>
            <xm:f>Lookup!$U$2:$U$4</xm:f>
          </x14:formula1>
          <xm:sqref>Z21:AA1048576 AC2:AC20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D067-502F-411B-B4F8-24ABC3989820}">
  <dimension ref="A1:Y1"/>
  <sheetViews>
    <sheetView workbookViewId="0">
      <selection activeCell="D30" sqref="D30"/>
    </sheetView>
  </sheetViews>
  <sheetFormatPr defaultColWidth="8.81640625" defaultRowHeight="14.5"/>
  <cols>
    <col min="1" max="1" width="14.453125" customWidth="1"/>
    <col min="2" max="2" width="21" bestFit="1" customWidth="1"/>
    <col min="3" max="3" width="26.453125" style="70" bestFit="1" customWidth="1"/>
    <col min="4" max="4" width="18.7265625" bestFit="1" customWidth="1"/>
    <col min="5" max="5" width="17.453125" bestFit="1" customWidth="1"/>
    <col min="6" max="6" width="19.1796875" bestFit="1" customWidth="1"/>
    <col min="7" max="7" width="19.7265625" bestFit="1" customWidth="1"/>
    <col min="8" max="8" width="21.453125" bestFit="1" customWidth="1"/>
    <col min="9" max="9" width="18.26953125" customWidth="1"/>
    <col min="10" max="11" width="19.26953125" customWidth="1"/>
    <col min="12" max="12" width="14.453125" customWidth="1"/>
    <col min="13" max="13" width="8.81640625" bestFit="1" customWidth="1"/>
    <col min="14" max="14" width="11" bestFit="1" customWidth="1"/>
    <col min="15" max="15" width="12.7265625" bestFit="1" customWidth="1"/>
    <col min="16" max="16" width="14.26953125" bestFit="1" customWidth="1"/>
    <col min="17" max="17" width="15.453125" bestFit="1" customWidth="1"/>
    <col min="18" max="18" width="16" bestFit="1" customWidth="1"/>
    <col min="19" max="19" width="8.26953125" bestFit="1" customWidth="1"/>
    <col min="20" max="20" width="10.453125" customWidth="1"/>
    <col min="21" max="21" width="21.81640625" bestFit="1" customWidth="1"/>
    <col min="22" max="22" width="23" bestFit="1" customWidth="1"/>
    <col min="23" max="23" width="24.453125" bestFit="1" customWidth="1"/>
    <col min="24" max="24" width="17.1796875" customWidth="1"/>
    <col min="25" max="25" width="11.7265625" bestFit="1" customWidth="1"/>
  </cols>
  <sheetData>
    <row r="1" spans="1:25">
      <c r="A1" s="52" t="s">
        <v>262</v>
      </c>
      <c r="B1" s="55" t="s">
        <v>209</v>
      </c>
      <c r="C1" s="69" t="s">
        <v>253</v>
      </c>
      <c r="D1" s="56" t="s">
        <v>211</v>
      </c>
      <c r="E1" s="56" t="s">
        <v>212</v>
      </c>
      <c r="F1" s="56" t="s">
        <v>213</v>
      </c>
      <c r="G1" s="57" t="s">
        <v>214</v>
      </c>
      <c r="H1" s="68" t="s">
        <v>215</v>
      </c>
      <c r="I1" s="62" t="s">
        <v>3</v>
      </c>
      <c r="J1" s="63" t="s">
        <v>301</v>
      </c>
      <c r="K1" s="63" t="s">
        <v>302</v>
      </c>
      <c r="L1" s="63" t="s">
        <v>120</v>
      </c>
      <c r="M1" s="64" t="s">
        <v>122</v>
      </c>
      <c r="N1" s="63" t="s">
        <v>124</v>
      </c>
      <c r="O1" s="63" t="s">
        <v>123</v>
      </c>
      <c r="P1" s="65" t="s">
        <v>24</v>
      </c>
      <c r="Q1" s="66" t="s">
        <v>130</v>
      </c>
      <c r="R1" s="66" t="s">
        <v>188</v>
      </c>
      <c r="S1" s="66" t="s">
        <v>132</v>
      </c>
      <c r="T1" s="66" t="s">
        <v>29</v>
      </c>
      <c r="U1" s="66" t="s">
        <v>250</v>
      </c>
      <c r="V1" s="66" t="s">
        <v>251</v>
      </c>
      <c r="W1" s="66" t="s">
        <v>252</v>
      </c>
      <c r="X1" s="67" t="s">
        <v>23</v>
      </c>
      <c r="Y1" s="67" t="s">
        <v>265</v>
      </c>
    </row>
  </sheetData>
  <dataValidations count="1">
    <dataValidation type="list" allowBlank="1" showInputMessage="1" showErrorMessage="1" sqref="A7:A34" xr:uid="{F522B6F8-C3A0-4006-A445-C9D161C10EE4}">
      <formula1>$A$2:$A$2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74F0E21-7166-4E7D-AAB1-0EA397B15081}">
          <x14:formula1>
            <xm:f>Lookup!$A$2:$A$5</xm:f>
          </x14:formula1>
          <xm:sqref>A5:A6</xm:sqref>
        </x14:dataValidation>
        <x14:dataValidation type="list" allowBlank="1" showInputMessage="1" showErrorMessage="1" xr:uid="{12AB5D5D-FF08-479C-ADE8-329F0A5E69E4}">
          <x14:formula1>
            <xm:f>Lookup!$O$2:$O$7</xm:f>
          </x14:formula1>
          <xm:sqref>I2:I9</xm:sqref>
        </x14:dataValidation>
        <x14:dataValidation type="list" allowBlank="1" showInputMessage="1" showErrorMessage="1" xr:uid="{B3820540-FC04-4FD6-B0CF-210ACACE8676}">
          <x14:formula1>
            <xm:f>Lookup!$T$2:$T$4</xm:f>
          </x14:formula1>
          <xm:sqref>T2:T10</xm:sqref>
        </x14:dataValidation>
        <x14:dataValidation type="list" allowBlank="1" showInputMessage="1" showErrorMessage="1" xr:uid="{159344CC-CD31-45A1-B265-F71D82270514}">
          <x14:formula1>
            <xm:f>Lookup!$L$2:$L$4</xm:f>
          </x14:formula1>
          <xm:sqref>H2:H6</xm:sqref>
        </x14:dataValidation>
        <x14:dataValidation type="list" allowBlank="1" showInputMessage="1" showErrorMessage="1" xr:uid="{FAEDC573-1906-400D-8A3E-0827A52B8A1F}">
          <x14:formula1>
            <xm:f>Lookup!$I$2:$I$9</xm:f>
          </x14:formula1>
          <xm:sqref>G2:G6</xm:sqref>
        </x14:dataValidation>
        <x14:dataValidation type="list" allowBlank="1" showInputMessage="1" showErrorMessage="1" xr:uid="{3D658C5D-8110-4498-BCEB-77480C9EDA9C}">
          <x14:formula1>
            <xm:f>Lookup!$K$2:$K$4</xm:f>
          </x14:formula1>
          <xm:sqref>B2:B6</xm:sqref>
        </x14:dataValidation>
        <x14:dataValidation type="list" allowBlank="1" showInputMessage="1" showErrorMessage="1" xr:uid="{4CAD6420-372B-4EAD-B75F-1769972C10ED}">
          <x14:formula1>
            <xm:f>Lookup!$A$5:$A$5</xm:f>
          </x14:formula1>
          <xm:sqref>A2:A4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F4F2-F82D-40AB-BAF5-E5390ACE1733}">
  <sheetPr>
    <pageSetUpPr fitToPage="1"/>
  </sheetPr>
  <dimension ref="A1:M54"/>
  <sheetViews>
    <sheetView workbookViewId="0">
      <selection activeCell="B26" sqref="B26"/>
    </sheetView>
  </sheetViews>
  <sheetFormatPr defaultColWidth="8.81640625" defaultRowHeight="14.5"/>
  <cols>
    <col min="1" max="1" width="21" customWidth="1"/>
    <col min="2" max="2" width="31.453125" customWidth="1"/>
    <col min="3" max="3" width="14.26953125" style="74" bestFit="1" customWidth="1"/>
    <col min="4" max="4" width="10" style="74" bestFit="1" customWidth="1"/>
    <col min="5" max="5" width="9.1796875" style="74" bestFit="1" customWidth="1"/>
    <col min="6" max="6" width="9.7265625" style="74" bestFit="1" customWidth="1"/>
    <col min="7" max="7" width="67.453125" style="5" customWidth="1"/>
    <col min="8" max="8" width="18" customWidth="1"/>
    <col min="9" max="9" width="36.26953125" customWidth="1"/>
    <col min="11" max="11" width="22" customWidth="1"/>
    <col min="12" max="12" width="23.7265625" customWidth="1"/>
    <col min="13" max="13" width="29.453125" customWidth="1"/>
    <col min="14" max="14" width="21.7265625" customWidth="1"/>
  </cols>
  <sheetData>
    <row r="1" spans="1:13" ht="15" thickBot="1">
      <c r="A1" t="s">
        <v>224</v>
      </c>
      <c r="B1" s="4" t="s">
        <v>51</v>
      </c>
      <c r="C1" s="100" t="s">
        <v>261</v>
      </c>
      <c r="D1" s="100"/>
      <c r="E1" s="100"/>
      <c r="F1" s="100"/>
      <c r="G1" s="9"/>
      <c r="H1" s="4" t="s">
        <v>39</v>
      </c>
      <c r="I1" s="4" t="s">
        <v>40</v>
      </c>
      <c r="K1" s="4" t="s">
        <v>23</v>
      </c>
      <c r="L1" s="1" t="s">
        <v>91</v>
      </c>
      <c r="M1" s="1"/>
    </row>
    <row r="2" spans="1:13">
      <c r="A2" s="101" t="s">
        <v>227</v>
      </c>
      <c r="B2" s="52" t="s">
        <v>116</v>
      </c>
      <c r="C2" s="75" t="s">
        <v>255</v>
      </c>
      <c r="D2" s="75" t="s">
        <v>35</v>
      </c>
      <c r="E2" s="75" t="s">
        <v>256</v>
      </c>
      <c r="F2" s="75" t="s">
        <v>136</v>
      </c>
      <c r="G2" s="41" t="s">
        <v>141</v>
      </c>
      <c r="H2" s="42" t="s">
        <v>223</v>
      </c>
      <c r="I2" s="42" t="s">
        <v>223</v>
      </c>
      <c r="J2" s="43" t="s">
        <v>232</v>
      </c>
    </row>
    <row r="3" spans="1:13">
      <c r="A3" s="101"/>
      <c r="B3" s="53" t="s">
        <v>5</v>
      </c>
      <c r="C3" s="72" t="s">
        <v>220</v>
      </c>
      <c r="D3" s="72" t="s">
        <v>220</v>
      </c>
      <c r="E3" s="72" t="s">
        <v>220</v>
      </c>
      <c r="F3" s="92"/>
      <c r="G3" s="35" t="s">
        <v>177</v>
      </c>
      <c r="H3" s="34" t="s">
        <v>41</v>
      </c>
      <c r="I3" s="34" t="s">
        <v>5</v>
      </c>
      <c r="J3" s="44"/>
    </row>
    <row r="4" spans="1:13">
      <c r="A4" s="101"/>
      <c r="B4" s="53" t="s">
        <v>199</v>
      </c>
      <c r="C4" s="72" t="s">
        <v>257</v>
      </c>
      <c r="D4" s="72" t="s">
        <v>257</v>
      </c>
      <c r="E4" s="72" t="s">
        <v>257</v>
      </c>
      <c r="F4" s="72" t="s">
        <v>257</v>
      </c>
      <c r="G4" s="35" t="s">
        <v>179</v>
      </c>
      <c r="H4" s="34" t="s">
        <v>41</v>
      </c>
      <c r="I4" s="34" t="s">
        <v>17</v>
      </c>
      <c r="J4" s="44"/>
    </row>
    <row r="5" spans="1:13" ht="15" thickBot="1">
      <c r="A5" s="101"/>
      <c r="B5" s="54" t="s">
        <v>18</v>
      </c>
      <c r="C5" s="73" t="s">
        <v>257</v>
      </c>
      <c r="D5" s="73" t="s">
        <v>257</v>
      </c>
      <c r="E5" s="73" t="s">
        <v>257</v>
      </c>
      <c r="F5" s="73" t="s">
        <v>257</v>
      </c>
      <c r="G5" s="45" t="s">
        <v>179</v>
      </c>
      <c r="H5" s="51" t="s">
        <v>54</v>
      </c>
      <c r="I5" s="51" t="s">
        <v>55</v>
      </c>
      <c r="J5" s="46"/>
      <c r="K5" s="5"/>
    </row>
    <row r="6" spans="1:13" ht="15" thickBot="1">
      <c r="A6" s="101"/>
      <c r="B6" s="53" t="s">
        <v>57</v>
      </c>
      <c r="C6" s="72" t="s">
        <v>257</v>
      </c>
      <c r="D6" s="72" t="s">
        <v>257</v>
      </c>
      <c r="E6" s="72" t="s">
        <v>257</v>
      </c>
      <c r="F6" s="72" t="s">
        <v>257</v>
      </c>
      <c r="G6" s="35" t="s">
        <v>192</v>
      </c>
      <c r="H6" s="34" t="s">
        <v>42</v>
      </c>
      <c r="I6" s="34" t="s">
        <v>57</v>
      </c>
      <c r="J6" s="34"/>
    </row>
    <row r="7" spans="1:13">
      <c r="A7" s="101" t="s">
        <v>225</v>
      </c>
      <c r="B7" s="55" t="s">
        <v>209</v>
      </c>
      <c r="C7" s="72" t="s">
        <v>220</v>
      </c>
      <c r="D7" s="72" t="s">
        <v>220</v>
      </c>
      <c r="E7" s="72" t="s">
        <v>220</v>
      </c>
      <c r="F7" s="72" t="s">
        <v>220</v>
      </c>
      <c r="G7" s="47" t="s">
        <v>193</v>
      </c>
      <c r="H7" s="80" t="s">
        <v>42</v>
      </c>
      <c r="I7" s="81" t="s">
        <v>289</v>
      </c>
      <c r="J7" s="82" t="s">
        <v>232</v>
      </c>
      <c r="K7" s="5"/>
    </row>
    <row r="8" spans="1:13">
      <c r="A8" s="101"/>
      <c r="B8" s="56" t="s">
        <v>210</v>
      </c>
      <c r="C8" s="72" t="s">
        <v>220</v>
      </c>
      <c r="D8" s="72" t="s">
        <v>220</v>
      </c>
      <c r="E8" s="72" t="s">
        <v>220</v>
      </c>
      <c r="F8" s="72" t="s">
        <v>220</v>
      </c>
      <c r="G8" s="36" t="s">
        <v>125</v>
      </c>
      <c r="H8" s="34" t="s">
        <v>42</v>
      </c>
      <c r="I8" s="34" t="s">
        <v>45</v>
      </c>
      <c r="J8" s="44"/>
      <c r="L8" t="s">
        <v>110</v>
      </c>
    </row>
    <row r="9" spans="1:13" ht="15" thickBot="1">
      <c r="A9" s="101"/>
      <c r="B9" s="56" t="s">
        <v>211</v>
      </c>
      <c r="C9" s="73" t="s">
        <v>257</v>
      </c>
      <c r="D9" s="73" t="s">
        <v>257</v>
      </c>
      <c r="E9" s="73" t="s">
        <v>257</v>
      </c>
      <c r="F9" s="73" t="s">
        <v>257</v>
      </c>
      <c r="G9" s="35" t="s">
        <v>202</v>
      </c>
      <c r="H9" s="34" t="s">
        <v>42</v>
      </c>
      <c r="I9" s="34" t="s">
        <v>112</v>
      </c>
      <c r="J9" s="44"/>
    </row>
    <row r="10" spans="1:13">
      <c r="A10" s="101"/>
      <c r="B10" s="56" t="s">
        <v>212</v>
      </c>
      <c r="C10" s="72" t="s">
        <v>220</v>
      </c>
      <c r="D10" s="72" t="s">
        <v>220</v>
      </c>
      <c r="E10" s="72" t="s">
        <v>220</v>
      </c>
      <c r="F10" s="72" t="s">
        <v>220</v>
      </c>
      <c r="G10" s="36" t="s">
        <v>193</v>
      </c>
      <c r="H10" s="34" t="s">
        <v>42</v>
      </c>
      <c r="I10" s="34" t="s">
        <v>0</v>
      </c>
      <c r="J10" s="44"/>
    </row>
    <row r="11" spans="1:13">
      <c r="A11" s="101"/>
      <c r="B11" s="56" t="s">
        <v>213</v>
      </c>
      <c r="C11" s="72" t="s">
        <v>220</v>
      </c>
      <c r="D11" s="72" t="s">
        <v>220</v>
      </c>
      <c r="E11" s="72" t="s">
        <v>220</v>
      </c>
      <c r="F11" s="72" t="s">
        <v>220</v>
      </c>
      <c r="G11" s="36" t="s">
        <v>194</v>
      </c>
      <c r="H11" s="34" t="s">
        <v>42</v>
      </c>
      <c r="I11" s="34" t="s">
        <v>1</v>
      </c>
      <c r="J11" s="44"/>
    </row>
    <row r="12" spans="1:13">
      <c r="A12" s="101"/>
      <c r="B12" s="57" t="s">
        <v>214</v>
      </c>
      <c r="C12" s="72" t="s">
        <v>220</v>
      </c>
      <c r="D12" s="72" t="s">
        <v>220</v>
      </c>
      <c r="E12" s="72" t="s">
        <v>220</v>
      </c>
      <c r="F12" s="72" t="s">
        <v>220</v>
      </c>
      <c r="G12" s="39" t="s">
        <v>195</v>
      </c>
      <c r="H12" s="38" t="s">
        <v>42</v>
      </c>
      <c r="I12" s="38" t="s">
        <v>2</v>
      </c>
      <c r="J12" s="38"/>
    </row>
    <row r="13" spans="1:13" ht="15" thickBot="1">
      <c r="A13" s="101"/>
      <c r="B13" s="58" t="s">
        <v>215</v>
      </c>
      <c r="C13" s="72" t="s">
        <v>220</v>
      </c>
      <c r="D13" s="72" t="s">
        <v>220</v>
      </c>
      <c r="E13" s="72" t="s">
        <v>220</v>
      </c>
      <c r="F13" s="72" t="s">
        <v>220</v>
      </c>
      <c r="G13" s="49" t="s">
        <v>186</v>
      </c>
      <c r="H13" s="48" t="s">
        <v>42</v>
      </c>
      <c r="I13" s="48" t="s">
        <v>231</v>
      </c>
      <c r="J13" s="48"/>
    </row>
    <row r="14" spans="1:13" ht="15" thickBot="1">
      <c r="A14" s="101" t="s">
        <v>226</v>
      </c>
      <c r="B14" s="59" t="s">
        <v>219</v>
      </c>
      <c r="C14" s="72" t="s">
        <v>220</v>
      </c>
      <c r="D14" s="72" t="s">
        <v>220</v>
      </c>
      <c r="E14" s="72" t="s">
        <v>220</v>
      </c>
      <c r="F14" s="71"/>
      <c r="G14" s="41" t="s">
        <v>195</v>
      </c>
      <c r="H14" s="42" t="s">
        <v>42</v>
      </c>
      <c r="I14" s="42" t="s">
        <v>114</v>
      </c>
      <c r="J14" s="43"/>
    </row>
    <row r="15" spans="1:13" ht="15" thickBot="1">
      <c r="A15" s="101"/>
      <c r="B15" s="60" t="s">
        <v>117</v>
      </c>
      <c r="C15" s="72" t="s">
        <v>258</v>
      </c>
      <c r="D15" s="72" t="s">
        <v>258</v>
      </c>
      <c r="E15" s="72" t="s">
        <v>258</v>
      </c>
      <c r="F15" s="72"/>
      <c r="G15" s="35" t="s">
        <v>158</v>
      </c>
      <c r="H15" s="80" t="s">
        <v>42</v>
      </c>
      <c r="I15" s="76" t="s">
        <v>290</v>
      </c>
      <c r="J15" s="83" t="s">
        <v>232</v>
      </c>
    </row>
    <row r="16" spans="1:13" ht="15" thickBot="1">
      <c r="A16" s="101"/>
      <c r="B16" s="60" t="s">
        <v>111</v>
      </c>
      <c r="C16" s="72" t="s">
        <v>258</v>
      </c>
      <c r="D16" s="72" t="s">
        <v>258</v>
      </c>
      <c r="E16" s="72" t="s">
        <v>258</v>
      </c>
      <c r="F16" s="72"/>
      <c r="G16" s="35" t="s">
        <v>158</v>
      </c>
      <c r="H16" s="80" t="s">
        <v>42</v>
      </c>
      <c r="I16" s="76" t="s">
        <v>291</v>
      </c>
      <c r="J16" s="83" t="s">
        <v>232</v>
      </c>
    </row>
    <row r="17" spans="1:12" ht="15" thickBot="1">
      <c r="A17" s="101"/>
      <c r="B17" s="60" t="s">
        <v>118</v>
      </c>
      <c r="C17" s="72" t="s">
        <v>258</v>
      </c>
      <c r="D17" s="72" t="s">
        <v>258</v>
      </c>
      <c r="E17" s="72" t="s">
        <v>258</v>
      </c>
      <c r="F17" s="72"/>
      <c r="G17" s="35" t="s">
        <v>157</v>
      </c>
      <c r="H17" s="80" t="s">
        <v>42</v>
      </c>
      <c r="I17" s="76" t="s">
        <v>292</v>
      </c>
      <c r="J17" s="83" t="s">
        <v>232</v>
      </c>
    </row>
    <row r="18" spans="1:12" ht="15" thickBot="1">
      <c r="A18" s="101"/>
      <c r="B18" s="60" t="s">
        <v>21</v>
      </c>
      <c r="C18" s="72" t="s">
        <v>258</v>
      </c>
      <c r="D18" s="72" t="s">
        <v>258</v>
      </c>
      <c r="E18" s="72" t="s">
        <v>258</v>
      </c>
      <c r="F18" s="72"/>
      <c r="G18" s="35" t="s">
        <v>157</v>
      </c>
      <c r="H18" s="80" t="s">
        <v>42</v>
      </c>
      <c r="I18" s="76" t="s">
        <v>293</v>
      </c>
      <c r="J18" s="83" t="s">
        <v>232</v>
      </c>
      <c r="L18" s="3" t="s">
        <v>245</v>
      </c>
    </row>
    <row r="19" spans="1:12" ht="15" thickBot="1">
      <c r="A19" s="101"/>
      <c r="B19" s="61" t="s">
        <v>22</v>
      </c>
      <c r="C19" s="72" t="s">
        <v>258</v>
      </c>
      <c r="D19" s="72" t="s">
        <v>258</v>
      </c>
      <c r="E19" s="72" t="s">
        <v>258</v>
      </c>
      <c r="F19" s="73"/>
      <c r="G19" s="45" t="s">
        <v>157</v>
      </c>
      <c r="H19" s="80" t="s">
        <v>42</v>
      </c>
      <c r="I19" s="76" t="s">
        <v>294</v>
      </c>
      <c r="J19" s="83" t="s">
        <v>232</v>
      </c>
      <c r="L19" s="3" t="s">
        <v>246</v>
      </c>
    </row>
    <row r="20" spans="1:12">
      <c r="A20" s="102" t="s">
        <v>228</v>
      </c>
      <c r="B20" s="62" t="s">
        <v>3</v>
      </c>
      <c r="C20" s="72" t="s">
        <v>220</v>
      </c>
      <c r="D20" s="72" t="s">
        <v>220</v>
      </c>
      <c r="E20" s="72" t="s">
        <v>220</v>
      </c>
      <c r="F20" s="72" t="s">
        <v>220</v>
      </c>
      <c r="G20" s="40" t="s">
        <v>184</v>
      </c>
      <c r="H20" s="78" t="s">
        <v>233</v>
      </c>
      <c r="I20" s="78" t="s">
        <v>3</v>
      </c>
      <c r="J20" s="78" t="s">
        <v>232</v>
      </c>
    </row>
    <row r="21" spans="1:12">
      <c r="A21" s="102"/>
      <c r="B21" s="62" t="s">
        <v>276</v>
      </c>
      <c r="C21" s="72" t="s">
        <v>220</v>
      </c>
      <c r="D21" s="90" t="s">
        <v>306</v>
      </c>
      <c r="E21" s="72" t="s">
        <v>220</v>
      </c>
      <c r="F21" s="72"/>
      <c r="G21" s="35" t="s">
        <v>279</v>
      </c>
      <c r="H21" s="78" t="s">
        <v>233</v>
      </c>
      <c r="I21" s="78" t="s">
        <v>276</v>
      </c>
      <c r="J21" s="76" t="s">
        <v>232</v>
      </c>
      <c r="K21" s="79"/>
    </row>
    <row r="22" spans="1:12">
      <c r="A22" s="102"/>
      <c r="B22" s="62" t="s">
        <v>277</v>
      </c>
      <c r="C22" s="72" t="s">
        <v>220</v>
      </c>
      <c r="D22" s="90" t="s">
        <v>306</v>
      </c>
      <c r="E22" s="72" t="s">
        <v>220</v>
      </c>
      <c r="F22" s="72"/>
      <c r="G22" s="35" t="s">
        <v>279</v>
      </c>
      <c r="H22" s="78" t="s">
        <v>233</v>
      </c>
      <c r="I22" s="78" t="s">
        <v>277</v>
      </c>
      <c r="J22" s="76" t="s">
        <v>232</v>
      </c>
      <c r="K22" s="79"/>
    </row>
    <row r="23" spans="1:12">
      <c r="A23" s="102"/>
      <c r="B23" s="62" t="s">
        <v>278</v>
      </c>
      <c r="C23" s="72" t="s">
        <v>220</v>
      </c>
      <c r="D23" s="90" t="s">
        <v>306</v>
      </c>
      <c r="E23" s="72" t="s">
        <v>220</v>
      </c>
      <c r="F23" s="72"/>
      <c r="G23" s="35" t="s">
        <v>279</v>
      </c>
      <c r="H23" s="38" t="s">
        <v>233</v>
      </c>
      <c r="I23" s="38" t="s">
        <v>284</v>
      </c>
      <c r="J23" s="38"/>
    </row>
    <row r="24" spans="1:12">
      <c r="A24" s="102"/>
      <c r="B24" s="62" t="s">
        <v>297</v>
      </c>
      <c r="C24" s="72" t="s">
        <v>220</v>
      </c>
      <c r="D24" s="90" t="s">
        <v>306</v>
      </c>
      <c r="E24" s="72" t="s">
        <v>220</v>
      </c>
      <c r="F24" s="72"/>
      <c r="G24" s="35" t="s">
        <v>279</v>
      </c>
      <c r="H24" s="38" t="s">
        <v>233</v>
      </c>
      <c r="I24" s="38" t="s">
        <v>283</v>
      </c>
      <c r="J24" s="38" t="s">
        <v>296</v>
      </c>
    </row>
    <row r="25" spans="1:12">
      <c r="A25" s="102"/>
      <c r="B25" s="63" t="s">
        <v>121</v>
      </c>
      <c r="C25" s="72" t="s">
        <v>259</v>
      </c>
      <c r="D25" s="72" t="s">
        <v>259</v>
      </c>
      <c r="E25" s="72" t="s">
        <v>259</v>
      </c>
      <c r="F25" s="72" t="s">
        <v>259</v>
      </c>
      <c r="G25" s="35" t="s">
        <v>197</v>
      </c>
      <c r="H25" s="34" t="s">
        <v>233</v>
      </c>
      <c r="I25" s="34" t="s">
        <v>234</v>
      </c>
      <c r="J25" s="34"/>
      <c r="L25" t="s">
        <v>244</v>
      </c>
    </row>
    <row r="26" spans="1:12">
      <c r="A26" s="102"/>
      <c r="B26" s="63" t="s">
        <v>187</v>
      </c>
      <c r="C26" s="72" t="s">
        <v>257</v>
      </c>
      <c r="D26" s="72" t="s">
        <v>257</v>
      </c>
      <c r="E26" s="72" t="s">
        <v>257</v>
      </c>
      <c r="F26" s="72" t="s">
        <v>257</v>
      </c>
      <c r="G26" s="35" t="s">
        <v>142</v>
      </c>
      <c r="H26" s="34" t="s">
        <v>281</v>
      </c>
      <c r="I26" s="34" t="s">
        <v>280</v>
      </c>
      <c r="J26" s="34"/>
    </row>
    <row r="27" spans="1:12" ht="16.5" customHeight="1">
      <c r="A27" s="102"/>
      <c r="B27" s="63" t="s">
        <v>272</v>
      </c>
      <c r="C27" s="72" t="s">
        <v>257</v>
      </c>
      <c r="D27" s="72" t="s">
        <v>257</v>
      </c>
      <c r="E27" s="72" t="s">
        <v>257</v>
      </c>
      <c r="F27" s="72" t="s">
        <v>257</v>
      </c>
      <c r="G27" s="35" t="s">
        <v>142</v>
      </c>
      <c r="H27" s="76" t="s">
        <v>273</v>
      </c>
      <c r="I27" s="76" t="s">
        <v>268</v>
      </c>
      <c r="J27" s="76"/>
      <c r="K27" s="77" t="s">
        <v>282</v>
      </c>
    </row>
    <row r="28" spans="1:12" ht="14.25" customHeight="1">
      <c r="A28" s="102"/>
      <c r="B28" s="63" t="s">
        <v>274</v>
      </c>
      <c r="C28" s="72" t="s">
        <v>257</v>
      </c>
      <c r="D28" s="72" t="s">
        <v>257</v>
      </c>
      <c r="E28" s="72" t="s">
        <v>257</v>
      </c>
      <c r="F28" s="72" t="s">
        <v>257</v>
      </c>
      <c r="G28" s="35" t="s">
        <v>142</v>
      </c>
      <c r="H28" s="76" t="s">
        <v>273</v>
      </c>
      <c r="I28" s="76" t="s">
        <v>275</v>
      </c>
      <c r="J28" s="76"/>
      <c r="K28" s="77" t="s">
        <v>282</v>
      </c>
    </row>
    <row r="29" spans="1:12">
      <c r="A29" s="102"/>
      <c r="B29" s="63" t="s">
        <v>120</v>
      </c>
      <c r="C29" s="72" t="s">
        <v>259</v>
      </c>
      <c r="D29" s="72" t="s">
        <v>259</v>
      </c>
      <c r="E29" s="72" t="s">
        <v>259</v>
      </c>
      <c r="F29" s="72" t="s">
        <v>259</v>
      </c>
      <c r="G29" s="35" t="s">
        <v>196</v>
      </c>
      <c r="H29" s="34" t="s">
        <v>233</v>
      </c>
      <c r="I29" s="34" t="s">
        <v>235</v>
      </c>
      <c r="J29" s="34"/>
    </row>
    <row r="30" spans="1:12">
      <c r="A30" s="102"/>
      <c r="B30" s="64" t="s">
        <v>122</v>
      </c>
      <c r="C30" s="72" t="s">
        <v>259</v>
      </c>
      <c r="D30" s="72" t="s">
        <v>259</v>
      </c>
      <c r="E30" s="72" t="s">
        <v>259</v>
      </c>
      <c r="F30" s="72" t="s">
        <v>259</v>
      </c>
      <c r="G30" s="35" t="s">
        <v>198</v>
      </c>
      <c r="H30" s="34" t="s">
        <v>233</v>
      </c>
      <c r="I30" s="34" t="s">
        <v>80</v>
      </c>
      <c r="J30" s="34"/>
    </row>
    <row r="31" spans="1:12">
      <c r="A31" s="102"/>
      <c r="B31" s="63" t="s">
        <v>124</v>
      </c>
      <c r="C31" s="72" t="s">
        <v>259</v>
      </c>
      <c r="D31" s="72" t="s">
        <v>259</v>
      </c>
      <c r="E31" s="72" t="s">
        <v>259</v>
      </c>
      <c r="F31" s="72" t="s">
        <v>259</v>
      </c>
      <c r="G31" s="35" t="s">
        <v>198</v>
      </c>
      <c r="H31" s="34" t="s">
        <v>233</v>
      </c>
      <c r="I31" s="34" t="s">
        <v>236</v>
      </c>
      <c r="J31" s="34"/>
    </row>
    <row r="32" spans="1:12">
      <c r="A32" s="102"/>
      <c r="B32" s="63" t="s">
        <v>123</v>
      </c>
      <c r="C32" s="72" t="s">
        <v>257</v>
      </c>
      <c r="D32" s="72" t="s">
        <v>257</v>
      </c>
      <c r="E32" s="72" t="s">
        <v>257</v>
      </c>
      <c r="F32" s="72" t="s">
        <v>257</v>
      </c>
      <c r="G32" s="35" t="s">
        <v>167</v>
      </c>
      <c r="H32" s="34" t="s">
        <v>287</v>
      </c>
      <c r="I32" s="34" t="s">
        <v>288</v>
      </c>
      <c r="J32" s="34"/>
    </row>
    <row r="33" spans="1:11">
      <c r="A33" s="102"/>
      <c r="B33" s="63" t="s">
        <v>285</v>
      </c>
      <c r="C33" s="72" t="s">
        <v>257</v>
      </c>
      <c r="D33" s="72" t="s">
        <v>257</v>
      </c>
      <c r="E33" s="72" t="s">
        <v>257</v>
      </c>
      <c r="F33" s="72" t="s">
        <v>257</v>
      </c>
      <c r="G33" s="35" t="s">
        <v>167</v>
      </c>
      <c r="H33" s="34" t="s">
        <v>233</v>
      </c>
      <c r="I33" s="34" t="s">
        <v>286</v>
      </c>
      <c r="J33" s="34"/>
    </row>
    <row r="34" spans="1:11">
      <c r="A34" s="102"/>
      <c r="B34" s="65" t="s">
        <v>24</v>
      </c>
      <c r="C34" s="72" t="s">
        <v>259</v>
      </c>
      <c r="D34" s="72" t="s">
        <v>259</v>
      </c>
      <c r="E34" s="72" t="s">
        <v>259</v>
      </c>
      <c r="F34" s="91" t="s">
        <v>307</v>
      </c>
      <c r="G34" s="37" t="s">
        <v>238</v>
      </c>
      <c r="H34" s="34" t="s">
        <v>233</v>
      </c>
      <c r="I34" s="34" t="s">
        <v>237</v>
      </c>
      <c r="J34" s="34"/>
    </row>
    <row r="35" spans="1:11">
      <c r="A35" s="102"/>
      <c r="B35" s="63" t="s">
        <v>33</v>
      </c>
      <c r="C35" s="72" t="s">
        <v>259</v>
      </c>
      <c r="D35" s="72" t="s">
        <v>259</v>
      </c>
      <c r="E35" s="72" t="s">
        <v>259</v>
      </c>
      <c r="F35" s="72"/>
      <c r="G35" s="35" t="s">
        <v>186</v>
      </c>
      <c r="H35" s="50" t="s">
        <v>54</v>
      </c>
      <c r="I35" s="34" t="s">
        <v>239</v>
      </c>
      <c r="J35" s="34"/>
    </row>
    <row r="36" spans="1:11">
      <c r="A36" s="102"/>
      <c r="B36" s="63" t="s">
        <v>34</v>
      </c>
      <c r="C36" s="72" t="s">
        <v>259</v>
      </c>
      <c r="D36" s="72" t="s">
        <v>259</v>
      </c>
      <c r="E36" s="72" t="s">
        <v>259</v>
      </c>
      <c r="F36" s="72"/>
      <c r="G36" s="35" t="s">
        <v>186</v>
      </c>
      <c r="H36" s="34" t="s">
        <v>54</v>
      </c>
      <c r="I36" s="34" t="s">
        <v>240</v>
      </c>
      <c r="J36" s="34"/>
    </row>
    <row r="37" spans="1:11">
      <c r="A37" s="102"/>
      <c r="B37" s="63" t="s">
        <v>25</v>
      </c>
      <c r="C37" s="72" t="s">
        <v>259</v>
      </c>
      <c r="D37" s="72" t="s">
        <v>259</v>
      </c>
      <c r="E37" s="72" t="s">
        <v>259</v>
      </c>
      <c r="F37" s="72"/>
      <c r="G37" s="35" t="s">
        <v>186</v>
      </c>
      <c r="H37" s="34" t="s">
        <v>54</v>
      </c>
      <c r="I37" s="34" t="s">
        <v>25</v>
      </c>
      <c r="J37" s="34"/>
    </row>
    <row r="38" spans="1:11">
      <c r="A38" s="97" t="s">
        <v>304</v>
      </c>
      <c r="B38" s="87" t="s">
        <v>87</v>
      </c>
      <c r="C38" s="34"/>
      <c r="D38" s="72" t="s">
        <v>259</v>
      </c>
      <c r="E38" s="72" t="s">
        <v>259</v>
      </c>
      <c r="F38" s="90" t="s">
        <v>259</v>
      </c>
      <c r="G38" s="5" t="s">
        <v>141</v>
      </c>
      <c r="K38" s="96" t="s">
        <v>303</v>
      </c>
    </row>
    <row r="39" spans="1:11">
      <c r="A39" s="98"/>
      <c r="B39" s="87" t="s">
        <v>126</v>
      </c>
      <c r="C39" s="34"/>
      <c r="D39" s="72" t="s">
        <v>259</v>
      </c>
      <c r="E39" s="72" t="s">
        <v>259</v>
      </c>
      <c r="F39" s="90" t="s">
        <v>259</v>
      </c>
      <c r="G39" s="5" t="s">
        <v>141</v>
      </c>
      <c r="K39" s="96"/>
    </row>
    <row r="40" spans="1:11">
      <c r="A40" s="98"/>
      <c r="B40" s="87" t="s">
        <v>127</v>
      </c>
      <c r="C40" s="34"/>
      <c r="D40" s="72" t="s">
        <v>259</v>
      </c>
      <c r="E40" s="72" t="s">
        <v>259</v>
      </c>
      <c r="F40" s="90" t="s">
        <v>259</v>
      </c>
      <c r="G40" s="5" t="s">
        <v>141</v>
      </c>
      <c r="K40" s="96"/>
    </row>
    <row r="41" spans="1:11">
      <c r="A41" s="98"/>
      <c r="B41" s="87" t="s">
        <v>128</v>
      </c>
      <c r="C41" s="34"/>
      <c r="D41" s="72" t="s">
        <v>259</v>
      </c>
      <c r="E41" s="72" t="s">
        <v>259</v>
      </c>
      <c r="F41" s="90" t="s">
        <v>259</v>
      </c>
      <c r="G41" s="5" t="s">
        <v>141</v>
      </c>
      <c r="K41" s="96"/>
    </row>
    <row r="42" spans="1:11">
      <c r="A42" s="99"/>
      <c r="B42" s="88" t="s">
        <v>129</v>
      </c>
      <c r="C42" s="89"/>
      <c r="D42" s="72" t="s">
        <v>259</v>
      </c>
      <c r="E42" s="72" t="s">
        <v>259</v>
      </c>
      <c r="F42" s="90" t="s">
        <v>259</v>
      </c>
      <c r="G42" s="5" t="s">
        <v>141</v>
      </c>
      <c r="K42" s="96"/>
    </row>
    <row r="43" spans="1:11">
      <c r="A43" s="101" t="s">
        <v>229</v>
      </c>
      <c r="B43" s="66" t="s">
        <v>130</v>
      </c>
      <c r="C43" s="72" t="s">
        <v>257</v>
      </c>
      <c r="D43" s="72" t="s">
        <v>257</v>
      </c>
      <c r="E43" s="72" t="s">
        <v>257</v>
      </c>
      <c r="F43" s="91" t="s">
        <v>307</v>
      </c>
      <c r="G43" s="35" t="s">
        <v>142</v>
      </c>
      <c r="H43" s="34" t="s">
        <v>42</v>
      </c>
      <c r="I43" s="34" t="s">
        <v>26</v>
      </c>
      <c r="J43" s="34"/>
    </row>
    <row r="44" spans="1:11">
      <c r="A44" s="101"/>
      <c r="B44" s="66" t="s">
        <v>188</v>
      </c>
      <c r="C44" s="72" t="s">
        <v>257</v>
      </c>
      <c r="D44" s="72" t="s">
        <v>257</v>
      </c>
      <c r="E44" s="72" t="s">
        <v>257</v>
      </c>
      <c r="F44" s="91" t="s">
        <v>307</v>
      </c>
      <c r="G44" s="35" t="s">
        <v>142</v>
      </c>
      <c r="H44" s="34" t="s">
        <v>42</v>
      </c>
      <c r="I44" s="34" t="s">
        <v>27</v>
      </c>
      <c r="J44" s="34"/>
    </row>
    <row r="45" spans="1:11">
      <c r="A45" s="101"/>
      <c r="B45" s="66" t="s">
        <v>132</v>
      </c>
      <c r="C45" s="72" t="s">
        <v>257</v>
      </c>
      <c r="D45" s="72" t="s">
        <v>257</v>
      </c>
      <c r="E45" s="72" t="s">
        <v>257</v>
      </c>
      <c r="F45" s="91" t="s">
        <v>307</v>
      </c>
      <c r="G45" s="35" t="s">
        <v>142</v>
      </c>
      <c r="H45" s="34" t="s">
        <v>42</v>
      </c>
      <c r="I45" s="34" t="s">
        <v>28</v>
      </c>
      <c r="J45" s="34"/>
    </row>
    <row r="46" spans="1:11">
      <c r="A46" s="101"/>
      <c r="B46" s="66" t="s">
        <v>29</v>
      </c>
      <c r="C46" s="72" t="s">
        <v>220</v>
      </c>
      <c r="D46" s="72" t="s">
        <v>220</v>
      </c>
      <c r="E46" s="72" t="s">
        <v>220</v>
      </c>
      <c r="F46" s="72"/>
      <c r="G46" s="35" t="s">
        <v>141</v>
      </c>
      <c r="H46" s="34" t="s">
        <v>42</v>
      </c>
      <c r="I46" s="34" t="s">
        <v>29</v>
      </c>
      <c r="J46" s="34"/>
    </row>
    <row r="47" spans="1:11">
      <c r="A47" s="101"/>
      <c r="B47" s="66" t="s">
        <v>247</v>
      </c>
      <c r="C47" s="72" t="s">
        <v>257</v>
      </c>
      <c r="D47" s="72" t="s">
        <v>257</v>
      </c>
      <c r="E47" s="72" t="s">
        <v>257</v>
      </c>
      <c r="F47" s="91" t="s">
        <v>307</v>
      </c>
      <c r="G47" s="35" t="s">
        <v>142</v>
      </c>
      <c r="H47" s="34" t="s">
        <v>241</v>
      </c>
      <c r="I47" s="34" t="s">
        <v>30</v>
      </c>
      <c r="J47" s="34" t="s">
        <v>232</v>
      </c>
    </row>
    <row r="48" spans="1:11">
      <c r="A48" s="101"/>
      <c r="B48" s="66" t="s">
        <v>248</v>
      </c>
      <c r="C48" s="72" t="s">
        <v>257</v>
      </c>
      <c r="D48" s="72" t="s">
        <v>257</v>
      </c>
      <c r="E48" s="72" t="s">
        <v>257</v>
      </c>
      <c r="F48" s="91" t="s">
        <v>307</v>
      </c>
      <c r="G48" s="35" t="s">
        <v>142</v>
      </c>
      <c r="H48" s="34" t="s">
        <v>241</v>
      </c>
      <c r="I48" s="34" t="s">
        <v>31</v>
      </c>
      <c r="J48" s="34" t="s">
        <v>232</v>
      </c>
    </row>
    <row r="49" spans="1:10">
      <c r="A49" s="101"/>
      <c r="B49" s="66" t="s">
        <v>249</v>
      </c>
      <c r="C49" s="72" t="s">
        <v>257</v>
      </c>
      <c r="D49" s="72" t="s">
        <v>257</v>
      </c>
      <c r="E49" s="72" t="s">
        <v>257</v>
      </c>
      <c r="F49" s="91" t="s">
        <v>307</v>
      </c>
      <c r="G49" s="35" t="s">
        <v>142</v>
      </c>
      <c r="H49" s="34" t="s">
        <v>241</v>
      </c>
      <c r="I49" s="34" t="s">
        <v>32</v>
      </c>
      <c r="J49" s="34" t="s">
        <v>232</v>
      </c>
    </row>
    <row r="50" spans="1:10">
      <c r="A50" s="101" t="s">
        <v>230</v>
      </c>
      <c r="B50" s="67" t="s">
        <v>23</v>
      </c>
      <c r="C50" s="72" t="s">
        <v>257</v>
      </c>
      <c r="D50" s="72" t="s">
        <v>257</v>
      </c>
      <c r="E50" s="72" t="s">
        <v>257</v>
      </c>
      <c r="F50" s="72" t="s">
        <v>257</v>
      </c>
      <c r="G50" s="35" t="s">
        <v>142</v>
      </c>
      <c r="H50" s="34" t="s">
        <v>42</v>
      </c>
      <c r="I50" s="34" t="s">
        <v>23</v>
      </c>
      <c r="J50" s="34"/>
    </row>
    <row r="51" spans="1:10">
      <c r="A51" s="101"/>
      <c r="B51" s="67" t="s">
        <v>222</v>
      </c>
      <c r="C51" s="72" t="s">
        <v>257</v>
      </c>
      <c r="D51" s="72" t="s">
        <v>257</v>
      </c>
      <c r="E51" s="72" t="s">
        <v>257</v>
      </c>
      <c r="F51" s="72" t="s">
        <v>257</v>
      </c>
      <c r="G51" s="35" t="s">
        <v>167</v>
      </c>
      <c r="H51" s="34" t="s">
        <v>42</v>
      </c>
      <c r="I51" s="34" t="s">
        <v>23</v>
      </c>
      <c r="J51" s="34"/>
    </row>
    <row r="54" spans="1:10">
      <c r="B54" t="s">
        <v>260</v>
      </c>
    </row>
  </sheetData>
  <mergeCells count="9">
    <mergeCell ref="K38:K42"/>
    <mergeCell ref="A38:A42"/>
    <mergeCell ref="C1:F1"/>
    <mergeCell ref="A50:A51"/>
    <mergeCell ref="A2:A6"/>
    <mergeCell ref="A7:A13"/>
    <mergeCell ref="A14:A19"/>
    <mergeCell ref="A20:A37"/>
    <mergeCell ref="A43:A49"/>
  </mergeCells>
  <pageMargins left="0.7" right="0.7" top="0.75" bottom="0.75" header="0.3" footer="0.3"/>
  <pageSetup scale="54" orientation="landscape" horizontalDpi="4294967293" r:id="rId1"/>
  <headerFooter>
    <oddHeader>&amp;F</oddHeader>
    <oddFooter>&amp;L&amp;B Confidential&amp;B&amp;C&amp;D&amp;RPage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workbookViewId="0">
      <selection activeCell="A2" sqref="A2"/>
    </sheetView>
  </sheetViews>
  <sheetFormatPr defaultColWidth="8.81640625" defaultRowHeight="14.5"/>
  <cols>
    <col min="1" max="1" width="21" customWidth="1"/>
    <col min="2" max="2" width="27.453125" bestFit="1" customWidth="1"/>
    <col min="3" max="3" width="18.26953125" customWidth="1"/>
    <col min="4" max="4" width="24.26953125" customWidth="1"/>
    <col min="5" max="6" width="12.7265625" customWidth="1"/>
    <col min="7" max="7" width="18" customWidth="1"/>
    <col min="8" max="8" width="16.7265625" customWidth="1"/>
    <col min="10" max="14" width="18.453125" customWidth="1"/>
    <col min="15" max="15" width="14.7265625" customWidth="1"/>
    <col min="16" max="17" width="17.453125" customWidth="1"/>
    <col min="18" max="18" width="11.7265625" bestFit="1" customWidth="1"/>
    <col min="19" max="19" width="24.1796875" customWidth="1"/>
  </cols>
  <sheetData>
    <row r="1" spans="1:21" s="1" customFormat="1">
      <c r="A1" s="1" t="s">
        <v>135</v>
      </c>
      <c r="C1" s="1" t="s">
        <v>242</v>
      </c>
      <c r="E1" s="1" t="s">
        <v>199</v>
      </c>
      <c r="G1" s="1" t="s">
        <v>145</v>
      </c>
      <c r="I1" s="1" t="s">
        <v>151</v>
      </c>
      <c r="K1" s="1" t="s">
        <v>181</v>
      </c>
      <c r="L1" s="1" t="s">
        <v>206</v>
      </c>
      <c r="N1" s="1" t="s">
        <v>243</v>
      </c>
      <c r="O1" s="1" t="s">
        <v>3</v>
      </c>
      <c r="P1" s="1" t="s">
        <v>57</v>
      </c>
      <c r="Q1" s="1" t="s">
        <v>308</v>
      </c>
      <c r="R1" s="1" t="s">
        <v>309</v>
      </c>
      <c r="S1" s="1" t="s">
        <v>25</v>
      </c>
      <c r="T1" s="1" t="s">
        <v>133</v>
      </c>
      <c r="U1" s="1" t="s">
        <v>268</v>
      </c>
    </row>
    <row r="2" spans="1:21">
      <c r="A2" s="7" t="s">
        <v>266</v>
      </c>
      <c r="B2" s="27" t="s">
        <v>137</v>
      </c>
      <c r="C2" s="6" t="s">
        <v>6</v>
      </c>
      <c r="D2" t="s">
        <v>60</v>
      </c>
      <c r="E2" s="7" t="s">
        <v>143</v>
      </c>
      <c r="G2" s="7" t="s">
        <v>146</v>
      </c>
      <c r="H2" t="s">
        <v>200</v>
      </c>
      <c r="I2" s="7">
        <v>17</v>
      </c>
      <c r="J2" t="s">
        <v>156</v>
      </c>
      <c r="K2" s="7" t="s">
        <v>182</v>
      </c>
      <c r="L2" s="7" t="s">
        <v>207</v>
      </c>
      <c r="N2" s="7" t="s">
        <v>204</v>
      </c>
      <c r="O2" s="7" t="s">
        <v>81</v>
      </c>
      <c r="P2" s="8" t="s">
        <v>92</v>
      </c>
      <c r="Q2" s="7" t="s">
        <v>169</v>
      </c>
      <c r="R2" s="7" t="s">
        <v>170</v>
      </c>
      <c r="S2" s="7" t="s">
        <v>170</v>
      </c>
      <c r="T2" s="7" t="s">
        <v>134</v>
      </c>
      <c r="U2" s="7" t="s">
        <v>269</v>
      </c>
    </row>
    <row r="3" spans="1:21" ht="29">
      <c r="A3" s="7" t="s">
        <v>35</v>
      </c>
      <c r="B3" s="27" t="s">
        <v>138</v>
      </c>
      <c r="C3" s="6" t="s">
        <v>61</v>
      </c>
      <c r="D3" t="s">
        <v>62</v>
      </c>
      <c r="E3" s="7" t="s">
        <v>144</v>
      </c>
      <c r="G3" s="7" t="s">
        <v>147</v>
      </c>
      <c r="I3" s="7">
        <v>18</v>
      </c>
      <c r="K3" s="7" t="s">
        <v>183</v>
      </c>
      <c r="L3" s="7" t="s">
        <v>208</v>
      </c>
      <c r="N3" s="7" t="s">
        <v>205</v>
      </c>
      <c r="O3" s="7" t="s">
        <v>4</v>
      </c>
      <c r="P3" s="8" t="s">
        <v>93</v>
      </c>
      <c r="Q3" s="7" t="s">
        <v>310</v>
      </c>
      <c r="R3" s="7" t="s">
        <v>310</v>
      </c>
      <c r="S3" s="7" t="s">
        <v>171</v>
      </c>
      <c r="T3" s="7" t="s">
        <v>220</v>
      </c>
      <c r="U3" s="7" t="s">
        <v>270</v>
      </c>
    </row>
    <row r="4" spans="1:21">
      <c r="A4" s="7" t="s">
        <v>305</v>
      </c>
      <c r="B4" s="27" t="s">
        <v>139</v>
      </c>
      <c r="C4" s="6" t="s">
        <v>12</v>
      </c>
      <c r="D4" t="s">
        <v>63</v>
      </c>
      <c r="E4" s="7" t="s">
        <v>134</v>
      </c>
      <c r="G4" s="7" t="s">
        <v>148</v>
      </c>
      <c r="I4" s="7">
        <v>19</v>
      </c>
      <c r="K4" s="7" t="s">
        <v>201</v>
      </c>
      <c r="L4" s="7" t="s">
        <v>216</v>
      </c>
      <c r="M4" t="s">
        <v>217</v>
      </c>
      <c r="N4" s="7" t="s">
        <v>218</v>
      </c>
      <c r="O4" s="7" t="s">
        <v>82</v>
      </c>
      <c r="P4" s="8" t="s">
        <v>94</v>
      </c>
      <c r="Q4" s="7" t="s">
        <v>311</v>
      </c>
      <c r="R4" s="7" t="s">
        <v>311</v>
      </c>
      <c r="S4" s="7" t="s">
        <v>173</v>
      </c>
      <c r="T4" s="7" t="s">
        <v>221</v>
      </c>
      <c r="U4" s="7" t="s">
        <v>271</v>
      </c>
    </row>
    <row r="5" spans="1:21" ht="29">
      <c r="A5" s="7" t="s">
        <v>136</v>
      </c>
      <c r="B5" s="27" t="s">
        <v>140</v>
      </c>
      <c r="C5" s="6" t="s">
        <v>267</v>
      </c>
      <c r="D5" t="s">
        <v>64</v>
      </c>
      <c r="G5" s="7" t="s">
        <v>149</v>
      </c>
      <c r="I5" s="7">
        <v>20</v>
      </c>
      <c r="O5" s="7" t="s">
        <v>83</v>
      </c>
      <c r="P5" s="8" t="s">
        <v>95</v>
      </c>
      <c r="Q5" s="7" t="s">
        <v>312</v>
      </c>
      <c r="R5" s="7" t="s">
        <v>312</v>
      </c>
      <c r="S5" s="7" t="s">
        <v>174</v>
      </c>
      <c r="T5" s="7"/>
    </row>
    <row r="6" spans="1:21">
      <c r="C6" s="6" t="s">
        <v>7</v>
      </c>
      <c r="D6" t="s">
        <v>65</v>
      </c>
      <c r="G6" s="7" t="s">
        <v>155</v>
      </c>
      <c r="I6" s="7">
        <v>21</v>
      </c>
      <c r="O6" s="7" t="s">
        <v>84</v>
      </c>
      <c r="P6" s="8" t="s">
        <v>96</v>
      </c>
      <c r="Q6" s="7" t="s">
        <v>313</v>
      </c>
      <c r="R6" s="7" t="s">
        <v>313</v>
      </c>
      <c r="S6" s="7" t="s">
        <v>172</v>
      </c>
      <c r="T6" s="7"/>
    </row>
    <row r="7" spans="1:21">
      <c r="C7" s="6" t="s">
        <v>8</v>
      </c>
      <c r="D7" t="s">
        <v>66</v>
      </c>
      <c r="I7" s="7">
        <v>22</v>
      </c>
      <c r="O7" s="7" t="s">
        <v>85</v>
      </c>
      <c r="P7" s="8" t="s">
        <v>97</v>
      </c>
      <c r="Q7" s="7" t="s">
        <v>314</v>
      </c>
      <c r="R7" s="7" t="s">
        <v>314</v>
      </c>
      <c r="S7" s="7" t="s">
        <v>175</v>
      </c>
      <c r="T7" s="7"/>
    </row>
    <row r="8" spans="1:21">
      <c r="C8" s="6" t="s">
        <v>9</v>
      </c>
      <c r="D8" t="s">
        <v>67</v>
      </c>
      <c r="I8" s="7">
        <v>23</v>
      </c>
      <c r="O8" s="7" t="s">
        <v>298</v>
      </c>
      <c r="P8" s="8" t="s">
        <v>98</v>
      </c>
      <c r="S8" s="7" t="s">
        <v>176</v>
      </c>
      <c r="T8" s="7"/>
    </row>
    <row r="9" spans="1:21">
      <c r="C9" s="6" t="s">
        <v>10</v>
      </c>
      <c r="D9" t="s">
        <v>68</v>
      </c>
      <c r="P9" s="8" t="s">
        <v>99</v>
      </c>
    </row>
    <row r="10" spans="1:21">
      <c r="C10" s="6" t="s">
        <v>58</v>
      </c>
      <c r="D10" t="s">
        <v>69</v>
      </c>
      <c r="P10" s="8" t="s">
        <v>100</v>
      </c>
    </row>
    <row r="11" spans="1:21">
      <c r="C11" s="6" t="s">
        <v>70</v>
      </c>
      <c r="D11" t="s">
        <v>71</v>
      </c>
      <c r="P11" s="8" t="s">
        <v>101</v>
      </c>
    </row>
    <row r="12" spans="1:21">
      <c r="C12" s="6" t="s">
        <v>72</v>
      </c>
      <c r="D12" t="s">
        <v>73</v>
      </c>
      <c r="P12" s="8" t="s">
        <v>102</v>
      </c>
    </row>
    <row r="13" spans="1:21">
      <c r="C13" s="6" t="s">
        <v>11</v>
      </c>
      <c r="D13" t="s">
        <v>74</v>
      </c>
      <c r="P13" s="8" t="s">
        <v>103</v>
      </c>
    </row>
    <row r="14" spans="1:21">
      <c r="C14" s="6" t="s">
        <v>13</v>
      </c>
      <c r="D14" t="s">
        <v>75</v>
      </c>
      <c r="P14" s="8" t="s">
        <v>104</v>
      </c>
    </row>
    <row r="15" spans="1:21">
      <c r="C15" s="6" t="s">
        <v>14</v>
      </c>
      <c r="D15" t="s">
        <v>76</v>
      </c>
      <c r="P15" s="8" t="s">
        <v>105</v>
      </c>
    </row>
    <row r="16" spans="1:21">
      <c r="C16" s="8" t="s">
        <v>15</v>
      </c>
      <c r="D16" t="s">
        <v>77</v>
      </c>
      <c r="P16" s="8" t="s">
        <v>106</v>
      </c>
    </row>
    <row r="17" spans="3:16">
      <c r="C17" s="8" t="s">
        <v>59</v>
      </c>
      <c r="D17" t="s">
        <v>78</v>
      </c>
      <c r="P17" s="8" t="s">
        <v>107</v>
      </c>
    </row>
    <row r="18" spans="3:16">
      <c r="C18" s="8" t="s">
        <v>16</v>
      </c>
      <c r="D18" t="s">
        <v>79</v>
      </c>
      <c r="P18" s="8" t="s">
        <v>108</v>
      </c>
    </row>
    <row r="19" spans="3:16">
      <c r="C19" s="2"/>
      <c r="P19" s="8" t="s">
        <v>109</v>
      </c>
    </row>
    <row r="20" spans="3:16">
      <c r="C20" s="2"/>
      <c r="P20" s="8" t="s">
        <v>203</v>
      </c>
    </row>
  </sheetData>
  <sortState xmlns:xlrd2="http://schemas.microsoft.com/office/spreadsheetml/2017/richdata2" ref="I2:I8">
    <sortCondition ref="I2:I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selection activeCell="A37" sqref="A33:XFD37"/>
    </sheetView>
  </sheetViews>
  <sheetFormatPr defaultColWidth="8.81640625" defaultRowHeight="14.5"/>
  <cols>
    <col min="1" max="1" width="59.453125" customWidth="1"/>
    <col min="2" max="2" width="57.1796875" style="5" customWidth="1"/>
    <col min="3" max="3" width="18" customWidth="1"/>
    <col min="4" max="4" width="20.81640625" customWidth="1"/>
  </cols>
  <sheetData>
    <row r="1" spans="1:6">
      <c r="A1" s="4" t="s">
        <v>51</v>
      </c>
      <c r="B1" s="9"/>
      <c r="C1" s="4" t="s">
        <v>39</v>
      </c>
      <c r="D1" s="4" t="s">
        <v>40</v>
      </c>
    </row>
    <row r="3" spans="1:6">
      <c r="A3" t="s">
        <v>116</v>
      </c>
      <c r="B3" s="5" t="s">
        <v>141</v>
      </c>
      <c r="E3" t="s">
        <v>48</v>
      </c>
    </row>
    <row r="4" spans="1:6">
      <c r="A4" t="s">
        <v>5</v>
      </c>
      <c r="B4" s="5" t="s">
        <v>177</v>
      </c>
      <c r="C4" t="s">
        <v>41</v>
      </c>
      <c r="D4" t="s">
        <v>5</v>
      </c>
    </row>
    <row r="5" spans="1:6">
      <c r="A5" t="s">
        <v>17</v>
      </c>
      <c r="B5" s="5" t="s">
        <v>178</v>
      </c>
      <c r="C5" t="s">
        <v>41</v>
      </c>
      <c r="D5" t="s">
        <v>17</v>
      </c>
    </row>
    <row r="6" spans="1:6">
      <c r="A6" t="s">
        <v>18</v>
      </c>
      <c r="B6" s="5" t="s">
        <v>179</v>
      </c>
      <c r="C6" s="5" t="s">
        <v>54</v>
      </c>
      <c r="D6" s="5" t="s">
        <v>55</v>
      </c>
      <c r="F6" s="5" t="s">
        <v>56</v>
      </c>
    </row>
    <row r="7" spans="1:6">
      <c r="A7" t="s">
        <v>180</v>
      </c>
      <c r="B7" s="25" t="s">
        <v>159</v>
      </c>
      <c r="C7" t="s">
        <v>50</v>
      </c>
      <c r="D7" s="5"/>
      <c r="E7" t="s">
        <v>48</v>
      </c>
      <c r="F7" s="5" t="s">
        <v>113</v>
      </c>
    </row>
    <row r="8" spans="1:6">
      <c r="A8" t="s">
        <v>19</v>
      </c>
      <c r="B8" s="25" t="s">
        <v>125</v>
      </c>
      <c r="C8" t="s">
        <v>42</v>
      </c>
      <c r="D8" t="s">
        <v>45</v>
      </c>
      <c r="F8" t="s">
        <v>43</v>
      </c>
    </row>
    <row r="9" spans="1:6" ht="15" thickBot="1">
      <c r="A9" t="s">
        <v>119</v>
      </c>
      <c r="B9" s="5" t="s">
        <v>150</v>
      </c>
      <c r="C9" t="s">
        <v>42</v>
      </c>
      <c r="D9" t="s">
        <v>112</v>
      </c>
    </row>
    <row r="10" spans="1:6">
      <c r="A10" s="11" t="s">
        <v>0</v>
      </c>
      <c r="B10" s="24" t="s">
        <v>160</v>
      </c>
      <c r="C10" s="12" t="s">
        <v>42</v>
      </c>
      <c r="D10" s="13" t="s">
        <v>0</v>
      </c>
    </row>
    <row r="11" spans="1:6">
      <c r="A11" s="14" t="s">
        <v>1</v>
      </c>
      <c r="B11" s="25" t="s">
        <v>161</v>
      </c>
      <c r="C11" t="s">
        <v>42</v>
      </c>
      <c r="D11" s="15" t="s">
        <v>1</v>
      </c>
    </row>
    <row r="12" spans="1:6" ht="15" thickBot="1">
      <c r="A12" s="16" t="s">
        <v>2</v>
      </c>
      <c r="B12" s="26" t="s">
        <v>162</v>
      </c>
      <c r="C12" s="17" t="s">
        <v>42</v>
      </c>
      <c r="D12" s="18" t="s">
        <v>2</v>
      </c>
    </row>
    <row r="13" spans="1:6">
      <c r="A13" t="s">
        <v>57</v>
      </c>
      <c r="B13" s="5" t="s">
        <v>163</v>
      </c>
      <c r="C13" t="s">
        <v>42</v>
      </c>
      <c r="D13" t="s">
        <v>57</v>
      </c>
    </row>
    <row r="14" spans="1:6">
      <c r="A14" t="s">
        <v>153</v>
      </c>
      <c r="B14" s="5" t="s">
        <v>152</v>
      </c>
      <c r="C14" t="s">
        <v>42</v>
      </c>
      <c r="D14" t="s">
        <v>20</v>
      </c>
    </row>
    <row r="15" spans="1:6" ht="15" thickBot="1">
      <c r="A15" t="s">
        <v>154</v>
      </c>
      <c r="B15" s="5" t="s">
        <v>152</v>
      </c>
      <c r="C15" t="s">
        <v>42</v>
      </c>
      <c r="D15" t="s">
        <v>114</v>
      </c>
    </row>
    <row r="16" spans="1:6">
      <c r="A16" s="11" t="s">
        <v>117</v>
      </c>
      <c r="B16" s="5" t="s">
        <v>158</v>
      </c>
    </row>
    <row r="17" spans="1:9" ht="15" thickBot="1">
      <c r="A17" s="16" t="s">
        <v>111</v>
      </c>
      <c r="B17" s="5" t="s">
        <v>158</v>
      </c>
      <c r="C17" t="s">
        <v>50</v>
      </c>
      <c r="F17" t="s">
        <v>115</v>
      </c>
    </row>
    <row r="18" spans="1:9">
      <c r="A18" s="19" t="s">
        <v>118</v>
      </c>
      <c r="B18" s="29" t="s">
        <v>157</v>
      </c>
      <c r="C18" t="s">
        <v>50</v>
      </c>
    </row>
    <row r="19" spans="1:9">
      <c r="A19" s="21" t="s">
        <v>21</v>
      </c>
      <c r="B19" s="29" t="s">
        <v>157</v>
      </c>
      <c r="C19" t="s">
        <v>42</v>
      </c>
      <c r="D19" t="s">
        <v>0</v>
      </c>
    </row>
    <row r="20" spans="1:9" ht="15" thickBot="1">
      <c r="A20" s="20" t="s">
        <v>22</v>
      </c>
      <c r="B20" s="22" t="s">
        <v>157</v>
      </c>
      <c r="C20" t="s">
        <v>42</v>
      </c>
      <c r="D20" t="s">
        <v>1</v>
      </c>
    </row>
    <row r="21" spans="1:9">
      <c r="A21" t="s">
        <v>3</v>
      </c>
      <c r="B21" s="5" t="s">
        <v>184</v>
      </c>
      <c r="E21" t="s">
        <v>48</v>
      </c>
    </row>
    <row r="22" spans="1:9">
      <c r="A22" t="s">
        <v>121</v>
      </c>
      <c r="B22" s="5" t="s">
        <v>185</v>
      </c>
      <c r="F22" t="s">
        <v>49</v>
      </c>
    </row>
    <row r="23" spans="1:9">
      <c r="A23" t="s">
        <v>187</v>
      </c>
      <c r="B23" s="5" t="s">
        <v>142</v>
      </c>
      <c r="C23" t="s">
        <v>53</v>
      </c>
    </row>
    <row r="24" spans="1:9" ht="15" thickBot="1">
      <c r="A24" t="s">
        <v>120</v>
      </c>
      <c r="B24" s="5" t="s">
        <v>164</v>
      </c>
      <c r="F24" t="s">
        <v>49</v>
      </c>
    </row>
    <row r="25" spans="1:9">
      <c r="A25" s="30" t="s">
        <v>122</v>
      </c>
      <c r="B25" s="28" t="s">
        <v>165</v>
      </c>
      <c r="F25" t="s">
        <v>49</v>
      </c>
    </row>
    <row r="26" spans="1:9">
      <c r="A26" s="21" t="s">
        <v>124</v>
      </c>
      <c r="B26" s="29" t="s">
        <v>165</v>
      </c>
      <c r="F26" t="s">
        <v>49</v>
      </c>
    </row>
    <row r="27" spans="1:9" ht="15" thickBot="1">
      <c r="A27" s="20" t="s">
        <v>123</v>
      </c>
      <c r="B27" s="22" t="s">
        <v>167</v>
      </c>
    </row>
    <row r="28" spans="1:9">
      <c r="A28" s="3" t="s">
        <v>24</v>
      </c>
      <c r="B28" s="10" t="s">
        <v>168</v>
      </c>
      <c r="F28" t="s">
        <v>49</v>
      </c>
    </row>
    <row r="29" spans="1:9">
      <c r="A29" t="s">
        <v>33</v>
      </c>
      <c r="B29" s="5" t="s">
        <v>186</v>
      </c>
      <c r="C29" t="s">
        <v>42</v>
      </c>
      <c r="D29" t="s">
        <v>44</v>
      </c>
      <c r="E29" t="s">
        <v>48</v>
      </c>
    </row>
    <row r="30" spans="1:9">
      <c r="A30" t="s">
        <v>34</v>
      </c>
      <c r="B30" s="5" t="s">
        <v>186</v>
      </c>
      <c r="C30" t="s">
        <v>42</v>
      </c>
      <c r="D30" t="s">
        <v>44</v>
      </c>
      <c r="E30" t="s">
        <v>48</v>
      </c>
    </row>
    <row r="31" spans="1:9">
      <c r="A31" t="s">
        <v>25</v>
      </c>
      <c r="B31" s="5" t="s">
        <v>186</v>
      </c>
      <c r="C31" t="s">
        <v>42</v>
      </c>
      <c r="D31" t="s">
        <v>44</v>
      </c>
      <c r="E31" t="s">
        <v>48</v>
      </c>
    </row>
    <row r="32" spans="1:9">
      <c r="A32" s="31" t="s">
        <v>86</v>
      </c>
      <c r="B32" s="32" t="s">
        <v>166</v>
      </c>
      <c r="C32" s="23"/>
      <c r="D32" s="23"/>
      <c r="E32" s="23" t="s">
        <v>48</v>
      </c>
      <c r="F32" s="23"/>
      <c r="G32" s="23"/>
      <c r="H32" s="23"/>
      <c r="I32" s="23"/>
    </row>
    <row r="33" spans="1:9">
      <c r="A33" s="31" t="s">
        <v>87</v>
      </c>
      <c r="B33" s="32" t="s">
        <v>166</v>
      </c>
      <c r="C33" s="23"/>
      <c r="D33" s="23"/>
      <c r="E33" s="23"/>
      <c r="F33" s="23" t="s">
        <v>49</v>
      </c>
      <c r="G33" s="23"/>
      <c r="H33" s="23"/>
      <c r="I33" s="23"/>
    </row>
    <row r="34" spans="1:9">
      <c r="A34" s="31" t="s">
        <v>126</v>
      </c>
      <c r="B34" s="32" t="s">
        <v>141</v>
      </c>
      <c r="C34" s="23"/>
      <c r="D34" s="23"/>
      <c r="E34" s="23"/>
      <c r="F34" s="23" t="s">
        <v>49</v>
      </c>
      <c r="G34" s="23"/>
      <c r="H34" s="23"/>
      <c r="I34" s="23"/>
    </row>
    <row r="35" spans="1:9">
      <c r="A35" s="31" t="s">
        <v>127</v>
      </c>
      <c r="B35" s="32" t="s">
        <v>141</v>
      </c>
      <c r="C35" s="23"/>
      <c r="D35" s="23"/>
      <c r="E35" s="23"/>
      <c r="F35" s="23" t="s">
        <v>49</v>
      </c>
      <c r="G35" s="23"/>
      <c r="H35" s="23"/>
      <c r="I35" s="23"/>
    </row>
    <row r="36" spans="1:9">
      <c r="A36" s="31" t="s">
        <v>128</v>
      </c>
      <c r="B36" s="32" t="s">
        <v>141</v>
      </c>
      <c r="C36" s="23"/>
      <c r="D36" s="23"/>
      <c r="E36" s="23"/>
      <c r="F36" s="23" t="s">
        <v>49</v>
      </c>
      <c r="G36" s="23"/>
      <c r="H36" s="23"/>
      <c r="I36" s="23"/>
    </row>
    <row r="37" spans="1:9">
      <c r="A37" s="33" t="s">
        <v>129</v>
      </c>
      <c r="B37" s="32" t="s">
        <v>141</v>
      </c>
      <c r="C37" s="23"/>
      <c r="D37" s="23"/>
      <c r="E37" s="23"/>
      <c r="F37" s="23" t="s">
        <v>49</v>
      </c>
      <c r="G37" s="23"/>
      <c r="H37" s="23"/>
      <c r="I37" s="23"/>
    </row>
    <row r="38" spans="1:9">
      <c r="A38" s="31" t="s">
        <v>89</v>
      </c>
      <c r="B38" s="32" t="s">
        <v>166</v>
      </c>
      <c r="C38" s="23" t="s">
        <v>42</v>
      </c>
      <c r="D38" s="23" t="s">
        <v>44</v>
      </c>
      <c r="E38" s="23" t="s">
        <v>48</v>
      </c>
      <c r="F38" s="23" t="s">
        <v>52</v>
      </c>
      <c r="G38" s="23"/>
      <c r="H38" s="23"/>
      <c r="I38" s="23"/>
    </row>
    <row r="39" spans="1:9">
      <c r="A39" s="31" t="s">
        <v>88</v>
      </c>
      <c r="B39" s="32" t="s">
        <v>166</v>
      </c>
      <c r="C39" s="23" t="s">
        <v>42</v>
      </c>
      <c r="D39" s="23" t="s">
        <v>44</v>
      </c>
      <c r="E39" s="23" t="s">
        <v>48</v>
      </c>
      <c r="F39" s="23" t="s">
        <v>52</v>
      </c>
      <c r="G39" s="23"/>
      <c r="H39" s="23"/>
      <c r="I39" s="23"/>
    </row>
    <row r="40" spans="1:9">
      <c r="A40" s="31" t="s">
        <v>90</v>
      </c>
      <c r="B40" s="32" t="s">
        <v>166</v>
      </c>
      <c r="C40" s="23" t="s">
        <v>42</v>
      </c>
      <c r="D40" s="23" t="s">
        <v>44</v>
      </c>
      <c r="E40" s="23" t="s">
        <v>48</v>
      </c>
      <c r="F40" s="23" t="s">
        <v>52</v>
      </c>
      <c r="G40" s="23"/>
      <c r="H40" s="23"/>
      <c r="I40" s="23"/>
    </row>
    <row r="42" spans="1:9">
      <c r="A42" t="s">
        <v>130</v>
      </c>
      <c r="B42" s="5" t="s">
        <v>142</v>
      </c>
      <c r="C42" t="s">
        <v>42</v>
      </c>
      <c r="D42" t="s">
        <v>26</v>
      </c>
    </row>
    <row r="43" spans="1:9">
      <c r="A43" s="23" t="s">
        <v>36</v>
      </c>
      <c r="C43" s="23" t="s">
        <v>42</v>
      </c>
      <c r="D43" s="23" t="s">
        <v>46</v>
      </c>
      <c r="F43" s="23" t="s">
        <v>131</v>
      </c>
    </row>
    <row r="44" spans="1:9">
      <c r="A44" t="s">
        <v>188</v>
      </c>
      <c r="B44" s="5" t="s">
        <v>142</v>
      </c>
      <c r="C44" t="s">
        <v>42</v>
      </c>
      <c r="D44" t="s">
        <v>27</v>
      </c>
    </row>
    <row r="45" spans="1:9">
      <c r="A45" s="23" t="s">
        <v>37</v>
      </c>
      <c r="C45" s="23" t="s">
        <v>42</v>
      </c>
      <c r="D45" s="23" t="s">
        <v>46</v>
      </c>
    </row>
    <row r="46" spans="1:9">
      <c r="A46" t="s">
        <v>132</v>
      </c>
      <c r="B46" s="5" t="s">
        <v>142</v>
      </c>
      <c r="C46" t="s">
        <v>42</v>
      </c>
      <c r="D46" t="s">
        <v>28</v>
      </c>
    </row>
    <row r="47" spans="1:9">
      <c r="A47" s="23" t="s">
        <v>38</v>
      </c>
      <c r="C47" s="23" t="s">
        <v>42</v>
      </c>
      <c r="D47" s="23" t="s">
        <v>47</v>
      </c>
    </row>
    <row r="48" spans="1:9">
      <c r="A48" t="s">
        <v>29</v>
      </c>
      <c r="B48" s="5" t="s">
        <v>141</v>
      </c>
      <c r="C48" t="s">
        <v>42</v>
      </c>
      <c r="D48" t="s">
        <v>29</v>
      </c>
    </row>
    <row r="49" spans="1:6">
      <c r="A49" t="s">
        <v>23</v>
      </c>
      <c r="B49" s="5" t="s">
        <v>142</v>
      </c>
      <c r="C49" t="s">
        <v>42</v>
      </c>
      <c r="D49" t="s">
        <v>23</v>
      </c>
    </row>
    <row r="50" spans="1:6">
      <c r="A50" t="s">
        <v>189</v>
      </c>
      <c r="B50" s="5" t="s">
        <v>142</v>
      </c>
      <c r="C50" t="s">
        <v>42</v>
      </c>
      <c r="D50" t="s">
        <v>44</v>
      </c>
      <c r="E50" t="s">
        <v>48</v>
      </c>
      <c r="F50" t="s">
        <v>52</v>
      </c>
    </row>
    <row r="51" spans="1:6">
      <c r="A51" t="s">
        <v>190</v>
      </c>
      <c r="B51" s="5" t="s">
        <v>142</v>
      </c>
      <c r="C51" t="s">
        <v>42</v>
      </c>
      <c r="D51" t="s">
        <v>44</v>
      </c>
      <c r="E51" t="s">
        <v>48</v>
      </c>
      <c r="F51" t="s">
        <v>52</v>
      </c>
    </row>
    <row r="52" spans="1:6">
      <c r="A52" t="s">
        <v>191</v>
      </c>
      <c r="B52" s="5" t="s">
        <v>142</v>
      </c>
      <c r="C52" t="s">
        <v>42</v>
      </c>
      <c r="D52" t="s">
        <v>44</v>
      </c>
      <c r="E52" t="s">
        <v>48</v>
      </c>
      <c r="F52" t="s">
        <v>52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Initial Capture</vt:lpstr>
      <vt:lpstr>Recapture-NewTag</vt:lpstr>
      <vt:lpstr>Detections</vt:lpstr>
      <vt:lpstr>Database Mapping (Current) </vt:lpstr>
      <vt:lpstr>Lookup</vt:lpstr>
      <vt:lpstr>Database Mapping (OLD)</vt:lpstr>
      <vt:lpstr>_2_Yagi</vt:lpstr>
      <vt:lpstr>_3_Yagi</vt:lpstr>
      <vt:lpstr>_4_Yagi</vt:lpstr>
      <vt:lpstr>_5_Yagi</vt:lpstr>
      <vt:lpstr>dd_receivertypes</vt:lpstr>
      <vt:lpstr>PIT</vt:lpstr>
      <vt:lpstr>'Database Mapping (Current) '!Print_Area</vt:lpstr>
      <vt:lpstr>Radio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Sander Elliott</cp:lastModifiedBy>
  <cp:lastPrinted>2025-03-10T20:11:36Z</cp:lastPrinted>
  <dcterms:created xsi:type="dcterms:W3CDTF">2021-03-31T12:41:22Z</dcterms:created>
  <dcterms:modified xsi:type="dcterms:W3CDTF">2026-01-30T11:55:53Z</dcterms:modified>
</cp:coreProperties>
</file>