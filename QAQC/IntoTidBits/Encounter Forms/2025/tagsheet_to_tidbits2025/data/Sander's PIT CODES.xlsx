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tagsheet_to_tidbits2025/data/"/>
    </mc:Choice>
  </mc:AlternateContent>
  <xr:revisionPtr revIDLastSave="26" documentId="13_ncr:1_{87E30D02-C812-421C-A0AA-2F4032EB8D69}" xr6:coauthVersionLast="47" xr6:coauthVersionMax="47" xr10:uidLastSave="{DAA3E067-F1CF-4C23-BA8A-A0A1D0F9DE7B}"/>
  <bookViews>
    <workbookView xWindow="28755" yWindow="285" windowWidth="28530" windowHeight="15480" activeTab="7" xr2:uid="{00000000-000D-0000-FFFF-FFFF00000000}"/>
  </bookViews>
  <sheets>
    <sheet name="Trip" sheetId="7" r:id="rId1"/>
    <sheet name="Sheet1" sheetId="1" r:id="rId2"/>
    <sheet name="Sheet1 (2)" sheetId="13" r:id="rId3"/>
    <sheet name="Sheet2" sheetId="14" r:id="rId4"/>
    <sheet name="Trip(1)" sheetId="2" r:id="rId5"/>
    <sheet name="Trip (2)" sheetId="8" r:id="rId6"/>
    <sheet name="Trip (3)" sheetId="9" r:id="rId7"/>
    <sheet name="Trip (4)" sheetId="11" r:id="rId8"/>
    <sheet name="Trip (5)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3" l="1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O22" i="8"/>
  <c r="P13" i="12"/>
  <c r="Q13" i="12"/>
  <c r="P12" i="12"/>
  <c r="Q12" i="12"/>
  <c r="N36" i="12"/>
  <c r="N35" i="12"/>
  <c r="O34" i="12"/>
  <c r="N34" i="12"/>
  <c r="O33" i="12"/>
  <c r="N33" i="12"/>
  <c r="O32" i="12"/>
  <c r="N32" i="12"/>
  <c r="O31" i="12"/>
  <c r="N31" i="12"/>
  <c r="O30" i="12"/>
  <c r="N30" i="12"/>
  <c r="O29" i="12"/>
  <c r="N29" i="12"/>
  <c r="O28" i="12"/>
  <c r="N28" i="12"/>
  <c r="O27" i="12"/>
  <c r="N27" i="12"/>
  <c r="O26" i="12"/>
  <c r="N26" i="12"/>
  <c r="O25" i="12"/>
  <c r="N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N18" i="12"/>
  <c r="O17" i="12"/>
  <c r="N17" i="12"/>
  <c r="O16" i="12"/>
  <c r="N16" i="12"/>
  <c r="O15" i="12"/>
  <c r="N15" i="12"/>
  <c r="O14" i="12"/>
  <c r="N14" i="12"/>
  <c r="O13" i="12"/>
  <c r="O12" i="12"/>
  <c r="N12" i="12"/>
  <c r="P11" i="12"/>
  <c r="Q11" i="12" s="1"/>
  <c r="O11" i="12"/>
  <c r="N11" i="12"/>
  <c r="P10" i="12"/>
  <c r="Q10" i="12" s="1"/>
  <c r="O10" i="12"/>
  <c r="N10" i="12"/>
  <c r="P9" i="12"/>
  <c r="Q9" i="12" s="1"/>
  <c r="O9" i="12"/>
  <c r="N9" i="12"/>
  <c r="P8" i="12"/>
  <c r="Q8" i="12" s="1"/>
  <c r="O8" i="12"/>
  <c r="N8" i="12"/>
  <c r="P7" i="12"/>
  <c r="Q7" i="12" s="1"/>
  <c r="O7" i="12"/>
  <c r="N7" i="12"/>
  <c r="P6" i="12"/>
  <c r="Q6" i="12" s="1"/>
  <c r="O6" i="12"/>
  <c r="N6" i="12"/>
  <c r="P5" i="12"/>
  <c r="Q5" i="12" s="1"/>
  <c r="O5" i="12"/>
  <c r="N5" i="12"/>
  <c r="P4" i="12"/>
  <c r="Q4" i="12" s="1"/>
  <c r="O4" i="12"/>
  <c r="N4" i="12"/>
  <c r="P3" i="12"/>
  <c r="Q3" i="12" s="1"/>
  <c r="O3" i="12"/>
  <c r="P2" i="12"/>
  <c r="Q2" i="12" s="1"/>
  <c r="O2" i="12"/>
  <c r="N2" i="12"/>
  <c r="P13" i="11"/>
  <c r="P12" i="11"/>
  <c r="Q3" i="11"/>
  <c r="Q12" i="11"/>
  <c r="Q13" i="11"/>
  <c r="Q2" i="11"/>
  <c r="N36" i="11"/>
  <c r="N35" i="11"/>
  <c r="O34" i="11"/>
  <c r="N34" i="11"/>
  <c r="O33" i="11"/>
  <c r="N33" i="11"/>
  <c r="O32" i="11"/>
  <c r="N32" i="11"/>
  <c r="O31" i="11"/>
  <c r="N31" i="11"/>
  <c r="O30" i="11"/>
  <c r="N30" i="11"/>
  <c r="O29" i="11"/>
  <c r="N29" i="11"/>
  <c r="O28" i="11"/>
  <c r="N28" i="11"/>
  <c r="O27" i="11"/>
  <c r="N27" i="11"/>
  <c r="O26" i="11"/>
  <c r="N26" i="11"/>
  <c r="O25" i="11"/>
  <c r="N25" i="11"/>
  <c r="O24" i="11"/>
  <c r="N24" i="11"/>
  <c r="O23" i="11"/>
  <c r="N23" i="11"/>
  <c r="O22" i="11"/>
  <c r="N22" i="11"/>
  <c r="O21" i="11"/>
  <c r="N21" i="11"/>
  <c r="O20" i="11"/>
  <c r="N20" i="11"/>
  <c r="O19" i="11"/>
  <c r="N19" i="11"/>
  <c r="O18" i="11"/>
  <c r="N18" i="11"/>
  <c r="O17" i="11"/>
  <c r="N17" i="11"/>
  <c r="O16" i="11"/>
  <c r="N16" i="11"/>
  <c r="O15" i="11"/>
  <c r="N15" i="11"/>
  <c r="O14" i="11"/>
  <c r="N14" i="11"/>
  <c r="O13" i="11"/>
  <c r="N12" i="11"/>
  <c r="P11" i="11"/>
  <c r="Q11" i="11" s="1"/>
  <c r="N11" i="11"/>
  <c r="P10" i="11"/>
  <c r="Q10" i="11" s="1"/>
  <c r="O10" i="11"/>
  <c r="N10" i="11"/>
  <c r="P9" i="11"/>
  <c r="Q9" i="11" s="1"/>
  <c r="O9" i="11"/>
  <c r="N9" i="11"/>
  <c r="P8" i="11"/>
  <c r="Q8" i="11" s="1"/>
  <c r="O8" i="11"/>
  <c r="N8" i="11"/>
  <c r="P7" i="11"/>
  <c r="Q7" i="11" s="1"/>
  <c r="O7" i="11"/>
  <c r="N7" i="11"/>
  <c r="P6" i="11"/>
  <c r="Q6" i="11" s="1"/>
  <c r="O6" i="11"/>
  <c r="N6" i="11"/>
  <c r="P5" i="11"/>
  <c r="Q5" i="11" s="1"/>
  <c r="O5" i="11"/>
  <c r="N5" i="11"/>
  <c r="P4" i="11"/>
  <c r="Q4" i="11" s="1"/>
  <c r="O4" i="11"/>
  <c r="N4" i="11"/>
  <c r="P3" i="11"/>
  <c r="O3" i="11"/>
  <c r="N3" i="11"/>
  <c r="P2" i="11"/>
  <c r="O2" i="11"/>
  <c r="N2" i="11"/>
  <c r="P16" i="9"/>
  <c r="P15" i="9"/>
  <c r="P14" i="9"/>
  <c r="P13" i="9"/>
  <c r="P12" i="9"/>
  <c r="Q2" i="9"/>
  <c r="Q3" i="9"/>
  <c r="Q4" i="9"/>
  <c r="Q11" i="9"/>
  <c r="Q12" i="9"/>
  <c r="Q13" i="9"/>
  <c r="Q14" i="9"/>
  <c r="Q15" i="9"/>
  <c r="Q16" i="9"/>
  <c r="N36" i="9"/>
  <c r="N35" i="9"/>
  <c r="O34" i="9"/>
  <c r="N34" i="9"/>
  <c r="O33" i="9"/>
  <c r="N33" i="9"/>
  <c r="O32" i="9"/>
  <c r="N32" i="9"/>
  <c r="O31" i="9"/>
  <c r="N31" i="9"/>
  <c r="O30" i="9"/>
  <c r="N30" i="9"/>
  <c r="O29" i="9"/>
  <c r="N29" i="9"/>
  <c r="O28" i="9"/>
  <c r="N28" i="9"/>
  <c r="O27" i="9"/>
  <c r="N27" i="9"/>
  <c r="O26" i="9"/>
  <c r="N26" i="9"/>
  <c r="O25" i="9"/>
  <c r="N25" i="9"/>
  <c r="O24" i="9"/>
  <c r="N24" i="9"/>
  <c r="O23" i="9"/>
  <c r="N23" i="9"/>
  <c r="O22" i="9"/>
  <c r="N22" i="9"/>
  <c r="O21" i="9"/>
  <c r="N21" i="9"/>
  <c r="O20" i="9"/>
  <c r="N20" i="9"/>
  <c r="O19" i="9"/>
  <c r="N19" i="9"/>
  <c r="O18" i="9"/>
  <c r="N18" i="9"/>
  <c r="O17" i="9"/>
  <c r="N17" i="9"/>
  <c r="O16" i="9"/>
  <c r="N16" i="9"/>
  <c r="O15" i="9"/>
  <c r="N15" i="9"/>
  <c r="O14" i="9"/>
  <c r="N14" i="9"/>
  <c r="O13" i="9"/>
  <c r="N13" i="9"/>
  <c r="O12" i="9"/>
  <c r="N12" i="9"/>
  <c r="P11" i="9"/>
  <c r="O11" i="9"/>
  <c r="P10" i="9"/>
  <c r="Q10" i="9" s="1"/>
  <c r="O10" i="9"/>
  <c r="P9" i="9"/>
  <c r="Q9" i="9" s="1"/>
  <c r="O9" i="9"/>
  <c r="P8" i="9"/>
  <c r="Q8" i="9" s="1"/>
  <c r="O8" i="9"/>
  <c r="N8" i="9"/>
  <c r="P7" i="9"/>
  <c r="Q7" i="9" s="1"/>
  <c r="O7" i="9"/>
  <c r="N7" i="9"/>
  <c r="P6" i="9"/>
  <c r="Q6" i="9" s="1"/>
  <c r="O6" i="9"/>
  <c r="N6" i="9"/>
  <c r="P5" i="9"/>
  <c r="Q5" i="9" s="1"/>
  <c r="O5" i="9"/>
  <c r="N5" i="9"/>
  <c r="P4" i="9"/>
  <c r="O4" i="9"/>
  <c r="N4" i="9"/>
  <c r="P3" i="9"/>
  <c r="O3" i="9"/>
  <c r="N3" i="9"/>
  <c r="P2" i="9"/>
  <c r="O2" i="9"/>
  <c r="Q3" i="8"/>
  <c r="Q4" i="8"/>
  <c r="Q5" i="8"/>
  <c r="Q6" i="8"/>
  <c r="Q7" i="8"/>
  <c r="Q8" i="8"/>
  <c r="Q9" i="8"/>
  <c r="Q10" i="8"/>
  <c r="Q11" i="8"/>
  <c r="Q12" i="8"/>
  <c r="Q13" i="8"/>
  <c r="Q14" i="8"/>
  <c r="Q15" i="8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Q2" i="8" s="1"/>
  <c r="N2" i="8"/>
  <c r="P11" i="7"/>
  <c r="P10" i="7"/>
  <c r="P9" i="7"/>
  <c r="P8" i="7"/>
  <c r="P7" i="7"/>
  <c r="P6" i="7"/>
  <c r="P5" i="7"/>
  <c r="P4" i="7"/>
  <c r="P3" i="7"/>
  <c r="Q2" i="7"/>
  <c r="P2" i="7"/>
  <c r="Q3" i="2"/>
  <c r="Q4" i="2"/>
  <c r="Q5" i="2"/>
  <c r="Q6" i="2"/>
  <c r="Q7" i="2"/>
  <c r="Q8" i="2"/>
  <c r="Q9" i="2"/>
  <c r="Q10" i="2"/>
  <c r="Q11" i="2"/>
  <c r="P11" i="2"/>
  <c r="Q2" i="2"/>
  <c r="P3" i="2"/>
  <c r="P4" i="2"/>
  <c r="P5" i="2"/>
  <c r="P6" i="2"/>
  <c r="P7" i="2"/>
  <c r="P8" i="2"/>
  <c r="P9" i="2"/>
  <c r="P10" i="2"/>
  <c r="P2" i="2"/>
  <c r="O3" i="2"/>
  <c r="O4" i="2"/>
  <c r="O5" i="2"/>
  <c r="O7" i="2"/>
  <c r="O8" i="2"/>
  <c r="O9" i="2"/>
  <c r="O10" i="2"/>
  <c r="O1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O2" i="2" s="1"/>
  <c r="N3" i="2"/>
  <c r="N4" i="2"/>
  <c r="N5" i="2"/>
  <c r="N7" i="2"/>
  <c r="N8" i="2"/>
  <c r="N9" i="2"/>
  <c r="N10" i="2"/>
  <c r="N11" i="2"/>
  <c r="N2" i="2"/>
  <c r="O11" i="11" l="1"/>
  <c r="O12" i="11"/>
  <c r="O6" i="2"/>
</calcChain>
</file>

<file path=xl/sharedStrings.xml><?xml version="1.0" encoding="utf-8"?>
<sst xmlns="http://schemas.openxmlformats.org/spreadsheetml/2006/main" count="847" uniqueCount="174">
  <si>
    <t>3DD.003E185F8C</t>
  </si>
  <si>
    <t>3DD.003E185F8D</t>
  </si>
  <si>
    <t>3DD.003E185F93</t>
  </si>
  <si>
    <t>3DD.003E185F8F</t>
  </si>
  <si>
    <t>3DD.003E185F7D</t>
  </si>
  <si>
    <t>3DD.003E185F77</t>
  </si>
  <si>
    <t>3DD.003E185F76</t>
  </si>
  <si>
    <t>3DD.003E185F92</t>
  </si>
  <si>
    <t>3DD.003E185F95</t>
  </si>
  <si>
    <t>3DD.003E185F86</t>
  </si>
  <si>
    <t>3DD.003E185F7F</t>
  </si>
  <si>
    <t>3DD.003E185F94</t>
  </si>
  <si>
    <t>3DD.003E185F74</t>
  </si>
  <si>
    <t>3DD.003E185F91</t>
  </si>
  <si>
    <t>3DD.003E185F90</t>
  </si>
  <si>
    <t>3DD.003E185F78</t>
  </si>
  <si>
    <t>3DD.003E185F87</t>
  </si>
  <si>
    <t>3DD.003E185F6C</t>
  </si>
  <si>
    <t>3DD.003E185F89</t>
  </si>
  <si>
    <t>3DD.003E185F8E</t>
  </si>
  <si>
    <t>3DD.003E185F88</t>
  </si>
  <si>
    <t>3DD.003E185F72</t>
  </si>
  <si>
    <t>3DD.003E185F85</t>
  </si>
  <si>
    <t>3DD.003E185F68</t>
  </si>
  <si>
    <t>3DD.003E185F69</t>
  </si>
  <si>
    <t>3DD.003E185F7B</t>
  </si>
  <si>
    <t>3DD.003E185F82</t>
  </si>
  <si>
    <t>3DD.003E185F6E</t>
  </si>
  <si>
    <t>3DD.003E185F8B</t>
  </si>
  <si>
    <t>3DD.003E185F8A</t>
  </si>
  <si>
    <t>3DD.003E185F7C</t>
  </si>
  <si>
    <t>3DD.003E185F81</t>
  </si>
  <si>
    <t>3DD.003E185F6F</t>
  </si>
  <si>
    <t>3DD.003E185F7A</t>
  </si>
  <si>
    <t>3DD.003E185F66</t>
  </si>
  <si>
    <t>3DD.003E185F83</t>
  </si>
  <si>
    <t>3DD.003E185F6D</t>
  </si>
  <si>
    <t>3DD.003E185F6B</t>
  </si>
  <si>
    <t>3DD.003E185F73</t>
  </si>
  <si>
    <t>3DD.003E185F71</t>
  </si>
  <si>
    <t>3DD.003E185F5F</t>
  </si>
  <si>
    <t>3DD.003E185F58</t>
  </si>
  <si>
    <t>3DD.003E185F48</t>
  </si>
  <si>
    <t>3DD.003E185F61</t>
  </si>
  <si>
    <t>3DD.003E185F53</t>
  </si>
  <si>
    <t>3DD.003E185F84</t>
  </si>
  <si>
    <t>3DD.003E185F67</t>
  </si>
  <si>
    <t>3DD.003E185F64</t>
  </si>
  <si>
    <t>3DD.003E185F5A</t>
  </si>
  <si>
    <t>3DD.003E185F39</t>
  </si>
  <si>
    <t>3DD.003E185F57</t>
  </si>
  <si>
    <t>3DD.003E185F56</t>
  </si>
  <si>
    <t>3DD.003E185F79</t>
  </si>
  <si>
    <t>3DD.003E185F5D</t>
  </si>
  <si>
    <t>3DD.003E185F4E</t>
  </si>
  <si>
    <t>3DD.003E185F46</t>
  </si>
  <si>
    <t>3DD.003E185F4B</t>
  </si>
  <si>
    <t>3DD.003E185F80</t>
  </si>
  <si>
    <t>3DD.003E185F55</t>
  </si>
  <si>
    <t>3DD.003E185F44</t>
  </si>
  <si>
    <t>CODE</t>
  </si>
  <si>
    <t>PIT #</t>
  </si>
  <si>
    <t>V16#</t>
  </si>
  <si>
    <t>Code</t>
  </si>
  <si>
    <t>A69-2801-201133</t>
  </si>
  <si>
    <t>A69-2801-201127</t>
  </si>
  <si>
    <t>A69-2801-201134</t>
  </si>
  <si>
    <t>A69-2801-201128</t>
  </si>
  <si>
    <t>A69-2801-201129</t>
  </si>
  <si>
    <t>A69-2801-201131</t>
  </si>
  <si>
    <t>A69-2801-201130</t>
  </si>
  <si>
    <t>A69-2801-201132</t>
  </si>
  <si>
    <t>A69-2801-201212</t>
  </si>
  <si>
    <t>A69-2801-201215</t>
  </si>
  <si>
    <t>A69-2801-201213</t>
  </si>
  <si>
    <t>A69-2801-201214</t>
  </si>
  <si>
    <t>A69-2801-201216</t>
  </si>
  <si>
    <t>A69-2801-201217</t>
  </si>
  <si>
    <t>A69-2801-201218</t>
  </si>
  <si>
    <t>A69-2801-201219</t>
  </si>
  <si>
    <t>A69-2801-201220</t>
  </si>
  <si>
    <t>A69-2801-201223</t>
  </si>
  <si>
    <t>A69-2801-201222</t>
  </si>
  <si>
    <t>A69-2801-201221</t>
  </si>
  <si>
    <t>A69-2801-201225</t>
  </si>
  <si>
    <t>A69-2801-201226</t>
  </si>
  <si>
    <t>A69-2801-201227</t>
  </si>
  <si>
    <t>A69-2801-201228</t>
  </si>
  <si>
    <t>Fish #</t>
  </si>
  <si>
    <t>Clip #</t>
  </si>
  <si>
    <t>FL</t>
  </si>
  <si>
    <t>TL</t>
  </si>
  <si>
    <t>Interorbital</t>
  </si>
  <si>
    <t>Inside Mouth</t>
  </si>
  <si>
    <t>Outside Mouth</t>
  </si>
  <si>
    <t>Notes</t>
  </si>
  <si>
    <t>Species</t>
  </si>
  <si>
    <t>AST</t>
  </si>
  <si>
    <t>M/O Ratio</t>
  </si>
  <si>
    <t>PIT CODE</t>
  </si>
  <si>
    <t>A69-2801-201229</t>
  </si>
  <si>
    <t>A69-2801-201232</t>
  </si>
  <si>
    <t>A69-2801-201231</t>
  </si>
  <si>
    <t>A69-2801-201230</t>
  </si>
  <si>
    <t>A69-2801-201235</t>
  </si>
  <si>
    <t>A69-2801-201234</t>
  </si>
  <si>
    <t>A69-2801-201233</t>
  </si>
  <si>
    <t>A69-2801-201238</t>
  </si>
  <si>
    <t>A69-2801-201237</t>
  </si>
  <si>
    <t>A69-2801-201236</t>
  </si>
  <si>
    <t>A69-2801-201239</t>
  </si>
  <si>
    <t>A69-2801-201240</t>
  </si>
  <si>
    <t>A69-2801-201241</t>
  </si>
  <si>
    <t>A69-2801-201244</t>
  </si>
  <si>
    <t>A69-2801-201243</t>
  </si>
  <si>
    <t>A69-2801-201242</t>
  </si>
  <si>
    <t>A69-2801-201247</t>
  </si>
  <si>
    <t>A69-2801-201246</t>
  </si>
  <si>
    <t>A69-2801-201245</t>
  </si>
  <si>
    <t>Date</t>
  </si>
  <si>
    <t xml:space="preserve">River </t>
  </si>
  <si>
    <t>Site</t>
  </si>
  <si>
    <t>Easting</t>
  </si>
  <si>
    <t>Northing</t>
  </si>
  <si>
    <t>Kennebec</t>
  </si>
  <si>
    <t>Gardiner</t>
  </si>
  <si>
    <t>V16 CODE Full</t>
  </si>
  <si>
    <t>V16 Short</t>
  </si>
  <si>
    <t>Short</t>
  </si>
  <si>
    <t>Recap</t>
  </si>
  <si>
    <t>3D9.257C65BA2C</t>
  </si>
  <si>
    <t>Y</t>
  </si>
  <si>
    <t>N</t>
  </si>
  <si>
    <t>Stayed at surface post release</t>
  </si>
  <si>
    <t>R</t>
  </si>
  <si>
    <t>Sex</t>
  </si>
  <si>
    <t>U</t>
  </si>
  <si>
    <t>Milt</t>
  </si>
  <si>
    <t>M</t>
  </si>
  <si>
    <t>Hallowell</t>
  </si>
  <si>
    <t>SNS</t>
  </si>
  <si>
    <t>Determined Species</t>
  </si>
  <si>
    <t>WOUND L</t>
  </si>
  <si>
    <t>CAUDAL DEFORMITY</t>
  </si>
  <si>
    <t>A69-2801-201224</t>
  </si>
  <si>
    <t>Penobscot</t>
  </si>
  <si>
    <t>The Spindle</t>
  </si>
  <si>
    <t>3DD.003BEF3671</t>
  </si>
  <si>
    <t>RIGHT PECTORAL WOUND</t>
  </si>
  <si>
    <t>3D9.1C2D6CC918</t>
  </si>
  <si>
    <t>3DD.003D99263F</t>
  </si>
  <si>
    <t>UMAINE RECAPTURE</t>
  </si>
  <si>
    <t>3D9.1C2D7E000E</t>
  </si>
  <si>
    <t>NO AC TAG</t>
  </si>
  <si>
    <t>JOE THINKS ITS UGLY</t>
  </si>
  <si>
    <t>3DD.003BEF3727</t>
  </si>
  <si>
    <t>UMAINE RECAP</t>
  </si>
  <si>
    <t>A69-2801-201249</t>
  </si>
  <si>
    <t>A69-2801-201253</t>
  </si>
  <si>
    <t>A69-2801-201250</t>
  </si>
  <si>
    <t>A69-2801-201248</t>
  </si>
  <si>
    <t>A69-2801-201251</t>
  </si>
  <si>
    <t>A69-2801-201252</t>
  </si>
  <si>
    <t>UMAINE RECAP / GIRTH 78CM</t>
  </si>
  <si>
    <t>3D9.1BF14AF288</t>
  </si>
  <si>
    <t>UMAINE PREVIOUSE DAY RECAP</t>
  </si>
  <si>
    <t>SEAL AT END OF DAY</t>
  </si>
  <si>
    <t>NO RIGHT PEC</t>
  </si>
  <si>
    <t>1</t>
  </si>
  <si>
    <t>MAINE DEPT OF MARINE RESOURCES</t>
  </si>
  <si>
    <t>Joseph Zydlewski</t>
  </si>
  <si>
    <t>V16-4x-BLU-1</t>
  </si>
  <si>
    <t>Serial_N</t>
  </si>
  <si>
    <t>V16.CODE.Full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</si>
</sst>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2" xfId="0" applyBorder="1"/>
    <xf numFmtId="0" fontId="0" fillId="0" borderId="13" xfId="0" applyBorder="1"/>
    <xf numFmtId="0" fontId="7" fillId="3" borderId="12" xfId="7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2" xfId="0" applyBorder="1" applyAlignment="1">
      <alignment wrapText="1"/>
    </xf>
    <xf numFmtId="0" fontId="17" fillId="9" borderId="11" xfId="18" applyBorder="1" applyAlignment="1">
      <alignment wrapText="1"/>
    </xf>
    <xf numFmtId="0" fontId="1" fillId="19" borderId="11" xfId="28" applyBorder="1" applyAlignment="1">
      <alignment wrapText="1"/>
    </xf>
    <xf numFmtId="0" fontId="1" fillId="19" borderId="10" xfId="28" applyBorder="1" applyAlignment="1">
      <alignment wrapText="1"/>
    </xf>
    <xf numFmtId="0" fontId="0" fillId="0" borderId="11" xfId="0" applyBorder="1" applyAlignment="1">
      <alignment wrapText="1"/>
    </xf>
    <xf numFmtId="0" fontId="17" fillId="13" borderId="11" xfId="22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D2619A1-7999-4244-81BC-02B86FBC88E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A711-86F6-489C-9871-79414856E4C9}">
  <dimension ref="A1:Y38"/>
  <sheetViews>
    <sheetView workbookViewId="0">
      <selection activeCell="Q2" sqref="Q2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8.710937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F2" s="5"/>
      <c r="G2" s="6"/>
      <c r="H2" s="5"/>
      <c r="I2" s="5"/>
      <c r="J2" s="7"/>
      <c r="N2" t="str">
        <f>IF(C2="", "", _xlfn.XLOOKUP(C2, Sheet1!A:A, Sheet1!B:B, ""))</f>
        <v/>
      </c>
      <c r="O2" t="str">
        <f>IF(D2="", "", _xlfn.XLOOKUP(D2, Sheet1!F:F, Sheet1!E:E, ""))</f>
        <v/>
      </c>
      <c r="P2" t="str">
        <f>IF(OR(I2="",H2=""),"",I2/H2)</f>
        <v/>
      </c>
      <c r="Q2" t="str">
        <f>IF(P2="", "UKN", IF(P2&lt;0.55, "AST", IF(P2&gt;0.62, "SNS", "UKN")))</f>
        <v>UKN</v>
      </c>
      <c r="R2" t="s">
        <v>136</v>
      </c>
      <c r="T2" s="1"/>
    </row>
    <row r="3" spans="1:25" x14ac:dyDescent="0.25">
      <c r="F3" s="2"/>
      <c r="H3" s="8"/>
      <c r="I3" s="2"/>
      <c r="J3" s="3"/>
      <c r="N3" t="str">
        <f>IF(C3="", "", _xlfn.XLOOKUP(C3, Sheet1!A:A, Sheet1!B:B, ""))</f>
        <v/>
      </c>
      <c r="O3" t="str">
        <f>IF(D3="", "", _xlfn.XLOOKUP(D3, Sheet1!F:F, Sheet1!E:E, ""))</f>
        <v/>
      </c>
      <c r="P3" t="str">
        <f t="shared" ref="P3:P11" si="0">IF(OR(I3="",H3=""),"",I3/H3)</f>
        <v/>
      </c>
    </row>
    <row r="4" spans="1:25" x14ac:dyDescent="0.25">
      <c r="F4" s="2"/>
      <c r="H4" s="8"/>
      <c r="I4" s="2"/>
      <c r="J4" s="3"/>
      <c r="N4" t="str">
        <f>IF(C4="", "", _xlfn.XLOOKUP(C4, Sheet1!A:A, Sheet1!B:B, ""))</f>
        <v/>
      </c>
      <c r="O4" t="str">
        <f>IF(D4="", "", _xlfn.XLOOKUP(D4, Sheet1!F:F, Sheet1!E:E, ""))</f>
        <v/>
      </c>
      <c r="P4" t="str">
        <f t="shared" si="0"/>
        <v/>
      </c>
    </row>
    <row r="5" spans="1:25" x14ac:dyDescent="0.25">
      <c r="F5" s="2"/>
      <c r="H5" s="8"/>
      <c r="I5" s="2"/>
      <c r="J5" s="3"/>
      <c r="N5" t="str">
        <f>IF(C5="", "", _xlfn.XLOOKUP(C5, Sheet1!A:A, Sheet1!B:B, ""))</f>
        <v/>
      </c>
      <c r="O5" t="str">
        <f>IF(D5="", "", _xlfn.XLOOKUP(D5, Sheet1!F:F, Sheet1!E:E, ""))</f>
        <v/>
      </c>
      <c r="P5" t="str">
        <f t="shared" si="0"/>
        <v/>
      </c>
    </row>
    <row r="6" spans="1:25" x14ac:dyDescent="0.25">
      <c r="F6" s="2"/>
      <c r="H6" s="8"/>
      <c r="I6" s="2"/>
      <c r="J6" s="3"/>
      <c r="N6" t="str">
        <f>IF(C6="", "", _xlfn.XLOOKUP(C6, Sheet1!A:A, Sheet1!B:B, ""))</f>
        <v/>
      </c>
      <c r="O6" t="str">
        <f>IF(D6="", "", _xlfn.XLOOKUP(D6, Sheet1!F:F, Sheet1!E:E, ""))</f>
        <v/>
      </c>
      <c r="P6" t="str">
        <f t="shared" si="0"/>
        <v/>
      </c>
    </row>
    <row r="7" spans="1:25" x14ac:dyDescent="0.25">
      <c r="F7" s="2"/>
      <c r="H7" s="8"/>
      <c r="I7" s="2"/>
      <c r="J7" s="3"/>
      <c r="N7" t="str">
        <f>IF(C7="", "", _xlfn.XLOOKUP(C7, Sheet1!A:A, Sheet1!B:B, ""))</f>
        <v/>
      </c>
      <c r="O7" t="str">
        <f>IF(D7="", "", _xlfn.XLOOKUP(D7, Sheet1!F:F, Sheet1!E:E, ""))</f>
        <v/>
      </c>
      <c r="P7" t="str">
        <f t="shared" si="0"/>
        <v/>
      </c>
    </row>
    <row r="8" spans="1:25" x14ac:dyDescent="0.25">
      <c r="F8" s="2"/>
      <c r="H8" s="9"/>
      <c r="I8" s="2"/>
      <c r="J8" s="3"/>
      <c r="N8" t="str">
        <f>IF(C8="", "", _xlfn.XLOOKUP(C8, Sheet1!A:A, Sheet1!B:B, ""))</f>
        <v/>
      </c>
      <c r="O8" t="str">
        <f>IF(D8="", "", _xlfn.XLOOKUP(D8, Sheet1!F:F, Sheet1!E:E, ""))</f>
        <v/>
      </c>
      <c r="P8" t="str">
        <f t="shared" si="0"/>
        <v/>
      </c>
    </row>
    <row r="9" spans="1:25" x14ac:dyDescent="0.25">
      <c r="F9" s="2"/>
      <c r="H9" s="2"/>
      <c r="I9" s="2"/>
      <c r="J9" s="3"/>
      <c r="N9" t="str">
        <f>IF(C9="", "", _xlfn.XLOOKUP(C9, Sheet1!A:A, Sheet1!B:B, ""))</f>
        <v/>
      </c>
      <c r="O9" t="str">
        <f>IF(D9="", "", _xlfn.XLOOKUP(D9, Sheet1!F:F, Sheet1!E:E, ""))</f>
        <v/>
      </c>
      <c r="P9" t="str">
        <f t="shared" si="0"/>
        <v/>
      </c>
    </row>
    <row r="10" spans="1:25" x14ac:dyDescent="0.25">
      <c r="F10" s="2"/>
      <c r="H10" s="2"/>
      <c r="I10" s="2"/>
      <c r="J10" s="3"/>
      <c r="N10" t="str">
        <f>IF(C10="", "", _xlfn.XLOOKUP(C10, Sheet1!A:A, Sheet1!B:B, ""))</f>
        <v/>
      </c>
      <c r="O10" t="str">
        <f>IF(D10="", "", _xlfn.XLOOKUP(D10, Sheet1!F:F, Sheet1!E:E, ""))</f>
        <v/>
      </c>
      <c r="P10" t="str">
        <f t="shared" si="0"/>
        <v/>
      </c>
    </row>
    <row r="11" spans="1:25" x14ac:dyDescent="0.25">
      <c r="F11" s="2"/>
      <c r="H11" s="2"/>
      <c r="I11" s="2"/>
      <c r="J11" s="3"/>
      <c r="N11" t="str">
        <f>IF(C11="", "", _xlfn.XLOOKUP(C11, Sheet1!A:A, Sheet1!B:B, ""))</f>
        <v/>
      </c>
      <c r="O11" t="str">
        <f>IF(D11="", "", _xlfn.XLOOKUP(D11, Sheet1!F:F, Sheet1!E:E, ""))</f>
        <v/>
      </c>
      <c r="P11" t="str">
        <f t="shared" si="0"/>
        <v/>
      </c>
    </row>
    <row r="12" spans="1:25" x14ac:dyDescent="0.25">
      <c r="F12" s="2"/>
      <c r="H12" s="2"/>
      <c r="I12" s="2"/>
      <c r="J12" s="3"/>
      <c r="N12" t="str">
        <f>IF(C12="", "", _xlfn.XLOOKUP(C12, Sheet1!A:A, Sheet1!B:B, ""))</f>
        <v/>
      </c>
      <c r="O12" t="str">
        <f>IF(D12="", "", _xlfn.XLOOKUP(D12, Sheet1!F:F, Sheet1!E:E, ""))</f>
        <v/>
      </c>
    </row>
    <row r="13" spans="1:25" x14ac:dyDescent="0.25">
      <c r="F13" s="2"/>
      <c r="H13" s="2"/>
      <c r="I13" s="2"/>
      <c r="J13" s="3"/>
      <c r="N13" t="str">
        <f>IF(C13="", "", _xlfn.XLOOKUP(C13, Sheet1!A:A, Sheet1!B:B, ""))</f>
        <v/>
      </c>
      <c r="O13" t="str">
        <f>IF(D13="", "", _xlfn.XLOOKUP(D13, Sheet1!F:F, Sheet1!E:E, ""))</f>
        <v/>
      </c>
    </row>
    <row r="14" spans="1:25" x14ac:dyDescent="0.25">
      <c r="F14" s="2"/>
      <c r="H14" s="2"/>
      <c r="I14" s="2"/>
      <c r="J14" s="3"/>
      <c r="N14" t="str">
        <f>IF(C14="", "", _xlfn.XLOOKUP(C14, Sheet1!A:A, Sheet1!B:B, ""))</f>
        <v/>
      </c>
      <c r="O14" t="str">
        <f>IF(D14="", "", _xlfn.XLOOKUP(D14, Sheet1!F:F, Sheet1!E:E, ""))</f>
        <v/>
      </c>
    </row>
    <row r="15" spans="1:25" x14ac:dyDescent="0.25">
      <c r="F15" s="2"/>
      <c r="H15" s="2"/>
      <c r="I15" s="2"/>
      <c r="J15" s="3"/>
      <c r="N15" t="str">
        <f>IF(C15="", "", _xlfn.XLOOKUP(C15, Sheet1!A:A, Sheet1!B:B, ""))</f>
        <v/>
      </c>
      <c r="O15" t="str">
        <f>IF(D15="", "", _xlfn.XLOOKUP(D15, Sheet1!F:F, Sheet1!E:E, ""))</f>
        <v/>
      </c>
    </row>
    <row r="16" spans="1:25" x14ac:dyDescent="0.25">
      <c r="F16" s="2"/>
      <c r="H16" s="2"/>
      <c r="I16" s="2"/>
      <c r="J16" s="3"/>
      <c r="N16" t="str">
        <f>IF(C16="", "", _xlfn.XLOOKUP(C16, Sheet1!A:A, Sheet1!B:B, ""))</f>
        <v/>
      </c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N35" t="str">
        <f>IF(C35="", "", _xlfn.XLOOKUP(C35, Sheet1!A:A, Sheet1!B:B, ""))</f>
        <v/>
      </c>
    </row>
    <row r="36" spans="6:15" x14ac:dyDescent="0.25">
      <c r="F36" s="2"/>
      <c r="H36" s="2"/>
      <c r="I36" s="2"/>
      <c r="J36" s="3"/>
      <c r="N36" t="str">
        <f>IF(C36="", "", _xlfn.XLOOKUP(C36, Sheet1!A:A, Sheet1!B:B,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conditionalFormatting sqref="Q2:Q100">
    <cfRule type="expression" dxfId="13" priority="1" stopIfTrue="1">
      <formula>AND($Q2&lt;&gt;$B2, $Q2&lt;&gt;"UKN", $Q2&lt;&gt;"", $B2&lt;&gt;"")</formula>
    </cfRule>
    <cfRule type="expression" dxfId="12" priority="2">
      <formula>$Q2="UKN"</formula>
    </cfRule>
    <cfRule type="expression" dxfId="11" priority="3" stopIfTrue="1">
      <formula>AND($Q2=$B2, $Q2&lt;&gt;"", $B2&lt;&gt;"")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K29" sqref="K29"/>
    </sheetView>
  </sheetViews>
  <sheetFormatPr defaultRowHeight="15" x14ac:dyDescent="0.25"/>
  <cols>
    <col min="2" max="2" width="15.140625" bestFit="1" customWidth="1"/>
    <col min="5" max="5" width="15.85546875" bestFit="1" customWidth="1"/>
  </cols>
  <sheetData>
    <row r="1" spans="1:6" x14ac:dyDescent="0.25">
      <c r="A1" t="s">
        <v>61</v>
      </c>
      <c r="B1" t="s">
        <v>60</v>
      </c>
      <c r="D1" t="s">
        <v>62</v>
      </c>
      <c r="E1" t="s">
        <v>63</v>
      </c>
      <c r="F1" t="s">
        <v>128</v>
      </c>
    </row>
    <row r="2" spans="1:6" x14ac:dyDescent="0.25">
      <c r="A2">
        <v>1</v>
      </c>
      <c r="B2" t="s">
        <v>0</v>
      </c>
      <c r="D2">
        <v>1</v>
      </c>
      <c r="E2" t="s">
        <v>64</v>
      </c>
      <c r="F2">
        <f>VALUE(RIGHT(E2,6))</f>
        <v>201133</v>
      </c>
    </row>
    <row r="3" spans="1:6" x14ac:dyDescent="0.25">
      <c r="A3">
        <v>2</v>
      </c>
      <c r="B3" t="s">
        <v>1</v>
      </c>
      <c r="D3">
        <v>2</v>
      </c>
      <c r="E3" t="s">
        <v>65</v>
      </c>
      <c r="F3">
        <f t="shared" ref="F3:F51" si="0">VALUE(RIGHT(E3,6))</f>
        <v>201127</v>
      </c>
    </row>
    <row r="4" spans="1:6" x14ac:dyDescent="0.25">
      <c r="A4">
        <v>3</v>
      </c>
      <c r="B4" t="s">
        <v>2</v>
      </c>
      <c r="D4">
        <v>3</v>
      </c>
      <c r="E4" t="s">
        <v>66</v>
      </c>
      <c r="F4">
        <f t="shared" si="0"/>
        <v>201134</v>
      </c>
    </row>
    <row r="5" spans="1:6" x14ac:dyDescent="0.25">
      <c r="A5">
        <v>4</v>
      </c>
      <c r="B5" t="s">
        <v>3</v>
      </c>
      <c r="D5">
        <v>4</v>
      </c>
      <c r="E5" t="s">
        <v>67</v>
      </c>
      <c r="F5">
        <f t="shared" si="0"/>
        <v>201128</v>
      </c>
    </row>
    <row r="6" spans="1:6" x14ac:dyDescent="0.25">
      <c r="A6">
        <v>5</v>
      </c>
      <c r="B6" t="s">
        <v>4</v>
      </c>
      <c r="D6">
        <v>5</v>
      </c>
      <c r="E6" t="s">
        <v>68</v>
      </c>
      <c r="F6">
        <f t="shared" si="0"/>
        <v>201129</v>
      </c>
    </row>
    <row r="7" spans="1:6" x14ac:dyDescent="0.25">
      <c r="A7">
        <v>6</v>
      </c>
      <c r="B7" t="s">
        <v>5</v>
      </c>
      <c r="D7">
        <v>6</v>
      </c>
      <c r="E7" t="s">
        <v>69</v>
      </c>
      <c r="F7">
        <f t="shared" si="0"/>
        <v>201131</v>
      </c>
    </row>
    <row r="8" spans="1:6" x14ac:dyDescent="0.25">
      <c r="A8">
        <v>7</v>
      </c>
      <c r="B8" t="s">
        <v>6</v>
      </c>
      <c r="D8">
        <v>7</v>
      </c>
      <c r="E8" t="s">
        <v>70</v>
      </c>
      <c r="F8">
        <f t="shared" si="0"/>
        <v>201130</v>
      </c>
    </row>
    <row r="9" spans="1:6" x14ac:dyDescent="0.25">
      <c r="A9">
        <v>8</v>
      </c>
      <c r="B9" t="s">
        <v>7</v>
      </c>
      <c r="D9">
        <v>8</v>
      </c>
      <c r="E9" t="s">
        <v>71</v>
      </c>
      <c r="F9">
        <f t="shared" si="0"/>
        <v>201132</v>
      </c>
    </row>
    <row r="10" spans="1:6" x14ac:dyDescent="0.25">
      <c r="A10">
        <v>9</v>
      </c>
      <c r="B10" t="s">
        <v>8</v>
      </c>
      <c r="D10">
        <v>9</v>
      </c>
      <c r="E10" t="s">
        <v>72</v>
      </c>
      <c r="F10">
        <f t="shared" si="0"/>
        <v>201212</v>
      </c>
    </row>
    <row r="11" spans="1:6" x14ac:dyDescent="0.25">
      <c r="A11">
        <v>10</v>
      </c>
      <c r="B11" t="s">
        <v>9</v>
      </c>
      <c r="D11">
        <v>10</v>
      </c>
      <c r="E11" t="s">
        <v>73</v>
      </c>
      <c r="F11">
        <f t="shared" si="0"/>
        <v>201215</v>
      </c>
    </row>
    <row r="12" spans="1:6" x14ac:dyDescent="0.25">
      <c r="A12">
        <v>11</v>
      </c>
      <c r="B12" t="s">
        <v>10</v>
      </c>
      <c r="D12">
        <v>11</v>
      </c>
      <c r="E12" t="s">
        <v>74</v>
      </c>
      <c r="F12">
        <f t="shared" si="0"/>
        <v>201213</v>
      </c>
    </row>
    <row r="13" spans="1:6" x14ac:dyDescent="0.25">
      <c r="A13">
        <v>12</v>
      </c>
      <c r="B13" t="s">
        <v>11</v>
      </c>
      <c r="D13">
        <v>12</v>
      </c>
      <c r="E13" t="s">
        <v>75</v>
      </c>
      <c r="F13">
        <f t="shared" si="0"/>
        <v>201214</v>
      </c>
    </row>
    <row r="14" spans="1:6" x14ac:dyDescent="0.25">
      <c r="A14">
        <v>13</v>
      </c>
      <c r="B14" t="s">
        <v>12</v>
      </c>
      <c r="D14">
        <v>13</v>
      </c>
      <c r="E14" t="s">
        <v>76</v>
      </c>
      <c r="F14">
        <f t="shared" si="0"/>
        <v>201216</v>
      </c>
    </row>
    <row r="15" spans="1:6" x14ac:dyDescent="0.25">
      <c r="A15">
        <v>14</v>
      </c>
      <c r="B15" t="s">
        <v>13</v>
      </c>
      <c r="D15">
        <v>14</v>
      </c>
      <c r="E15" t="s">
        <v>77</v>
      </c>
      <c r="F15">
        <f t="shared" si="0"/>
        <v>201217</v>
      </c>
    </row>
    <row r="16" spans="1:6" x14ac:dyDescent="0.25">
      <c r="A16">
        <v>15</v>
      </c>
      <c r="B16" t="s">
        <v>14</v>
      </c>
      <c r="D16">
        <v>15</v>
      </c>
      <c r="E16" t="s">
        <v>78</v>
      </c>
      <c r="F16">
        <f t="shared" si="0"/>
        <v>201218</v>
      </c>
    </row>
    <row r="17" spans="1:6" x14ac:dyDescent="0.25">
      <c r="A17">
        <v>16</v>
      </c>
      <c r="B17" t="s">
        <v>15</v>
      </c>
      <c r="D17">
        <v>16</v>
      </c>
      <c r="E17" t="s">
        <v>79</v>
      </c>
      <c r="F17">
        <f t="shared" si="0"/>
        <v>201219</v>
      </c>
    </row>
    <row r="18" spans="1:6" x14ac:dyDescent="0.25">
      <c r="A18">
        <v>17</v>
      </c>
      <c r="B18" t="s">
        <v>16</v>
      </c>
      <c r="D18">
        <v>17</v>
      </c>
      <c r="E18" t="s">
        <v>80</v>
      </c>
      <c r="F18">
        <f t="shared" si="0"/>
        <v>201220</v>
      </c>
    </row>
    <row r="19" spans="1:6" x14ac:dyDescent="0.25">
      <c r="A19">
        <v>18</v>
      </c>
      <c r="B19" t="s">
        <v>17</v>
      </c>
      <c r="D19">
        <v>18</v>
      </c>
      <c r="E19" t="s">
        <v>81</v>
      </c>
      <c r="F19">
        <f t="shared" si="0"/>
        <v>201223</v>
      </c>
    </row>
    <row r="20" spans="1:6" x14ac:dyDescent="0.25">
      <c r="A20">
        <v>19</v>
      </c>
      <c r="B20" t="s">
        <v>18</v>
      </c>
      <c r="D20">
        <v>19</v>
      </c>
      <c r="E20" t="s">
        <v>82</v>
      </c>
      <c r="F20">
        <f t="shared" si="0"/>
        <v>201222</v>
      </c>
    </row>
    <row r="21" spans="1:6" x14ac:dyDescent="0.25">
      <c r="A21">
        <v>20</v>
      </c>
      <c r="B21" t="s">
        <v>19</v>
      </c>
      <c r="D21">
        <v>20</v>
      </c>
      <c r="E21" t="s">
        <v>83</v>
      </c>
      <c r="F21">
        <f t="shared" si="0"/>
        <v>201221</v>
      </c>
    </row>
    <row r="22" spans="1:6" x14ac:dyDescent="0.25">
      <c r="A22">
        <v>21</v>
      </c>
      <c r="B22" t="s">
        <v>20</v>
      </c>
      <c r="D22">
        <v>21</v>
      </c>
      <c r="E22" t="s">
        <v>144</v>
      </c>
      <c r="F22">
        <f t="shared" si="0"/>
        <v>201224</v>
      </c>
    </row>
    <row r="23" spans="1:6" x14ac:dyDescent="0.25">
      <c r="A23">
        <v>22</v>
      </c>
      <c r="B23" t="s">
        <v>21</v>
      </c>
      <c r="D23">
        <v>22</v>
      </c>
      <c r="E23" t="s">
        <v>84</v>
      </c>
      <c r="F23">
        <f t="shared" si="0"/>
        <v>201225</v>
      </c>
    </row>
    <row r="24" spans="1:6" x14ac:dyDescent="0.25">
      <c r="A24">
        <v>23</v>
      </c>
      <c r="B24" t="s">
        <v>22</v>
      </c>
      <c r="D24">
        <v>23</v>
      </c>
      <c r="E24" t="s">
        <v>85</v>
      </c>
      <c r="F24">
        <f t="shared" si="0"/>
        <v>201226</v>
      </c>
    </row>
    <row r="25" spans="1:6" x14ac:dyDescent="0.25">
      <c r="A25">
        <v>24</v>
      </c>
      <c r="B25" t="s">
        <v>23</v>
      </c>
      <c r="D25">
        <v>24</v>
      </c>
      <c r="E25" t="s">
        <v>86</v>
      </c>
      <c r="F25">
        <f t="shared" si="0"/>
        <v>201227</v>
      </c>
    </row>
    <row r="26" spans="1:6" x14ac:dyDescent="0.25">
      <c r="A26">
        <v>25</v>
      </c>
      <c r="B26" t="s">
        <v>24</v>
      </c>
      <c r="D26">
        <v>25</v>
      </c>
      <c r="E26" t="s">
        <v>87</v>
      </c>
      <c r="F26">
        <f t="shared" si="0"/>
        <v>201228</v>
      </c>
    </row>
    <row r="27" spans="1:6" x14ac:dyDescent="0.25">
      <c r="A27">
        <v>26</v>
      </c>
      <c r="B27" t="s">
        <v>25</v>
      </c>
      <c r="D27">
        <v>26</v>
      </c>
      <c r="E27" t="s">
        <v>100</v>
      </c>
      <c r="F27">
        <f t="shared" si="0"/>
        <v>201229</v>
      </c>
    </row>
    <row r="28" spans="1:6" x14ac:dyDescent="0.25">
      <c r="A28">
        <v>27</v>
      </c>
      <c r="B28" t="s">
        <v>26</v>
      </c>
      <c r="D28">
        <v>27</v>
      </c>
      <c r="E28" t="s">
        <v>101</v>
      </c>
      <c r="F28">
        <f t="shared" si="0"/>
        <v>201232</v>
      </c>
    </row>
    <row r="29" spans="1:6" x14ac:dyDescent="0.25">
      <c r="A29">
        <v>28</v>
      </c>
      <c r="B29" t="s">
        <v>27</v>
      </c>
      <c r="D29">
        <v>28</v>
      </c>
      <c r="E29" t="s">
        <v>102</v>
      </c>
      <c r="F29">
        <f t="shared" si="0"/>
        <v>201231</v>
      </c>
    </row>
    <row r="30" spans="1:6" x14ac:dyDescent="0.25">
      <c r="A30">
        <v>29</v>
      </c>
      <c r="B30" t="s">
        <v>28</v>
      </c>
      <c r="D30">
        <v>29</v>
      </c>
      <c r="E30" t="s">
        <v>103</v>
      </c>
      <c r="F30">
        <f t="shared" si="0"/>
        <v>201230</v>
      </c>
    </row>
    <row r="31" spans="1:6" x14ac:dyDescent="0.25">
      <c r="A31">
        <v>30</v>
      </c>
      <c r="B31" t="s">
        <v>29</v>
      </c>
      <c r="D31">
        <v>30</v>
      </c>
      <c r="E31" t="s">
        <v>104</v>
      </c>
      <c r="F31">
        <f t="shared" si="0"/>
        <v>201235</v>
      </c>
    </row>
    <row r="32" spans="1:6" x14ac:dyDescent="0.25">
      <c r="A32">
        <v>31</v>
      </c>
      <c r="B32" t="s">
        <v>30</v>
      </c>
      <c r="D32">
        <v>31</v>
      </c>
      <c r="E32" t="s">
        <v>105</v>
      </c>
      <c r="F32">
        <f t="shared" si="0"/>
        <v>201234</v>
      </c>
    </row>
    <row r="33" spans="1:6" x14ac:dyDescent="0.25">
      <c r="A33">
        <v>32</v>
      </c>
      <c r="B33" t="s">
        <v>31</v>
      </c>
      <c r="D33">
        <v>32</v>
      </c>
      <c r="E33" t="s">
        <v>106</v>
      </c>
      <c r="F33">
        <f t="shared" si="0"/>
        <v>201233</v>
      </c>
    </row>
    <row r="34" spans="1:6" x14ac:dyDescent="0.25">
      <c r="A34">
        <v>33</v>
      </c>
      <c r="B34" t="s">
        <v>32</v>
      </c>
      <c r="D34">
        <v>33</v>
      </c>
      <c r="E34" t="s">
        <v>107</v>
      </c>
      <c r="F34">
        <f t="shared" si="0"/>
        <v>201238</v>
      </c>
    </row>
    <row r="35" spans="1:6" x14ac:dyDescent="0.25">
      <c r="A35">
        <v>34</v>
      </c>
      <c r="B35" t="s">
        <v>33</v>
      </c>
      <c r="D35">
        <v>34</v>
      </c>
      <c r="E35" t="s">
        <v>108</v>
      </c>
      <c r="F35">
        <f t="shared" si="0"/>
        <v>201237</v>
      </c>
    </row>
    <row r="36" spans="1:6" x14ac:dyDescent="0.25">
      <c r="A36">
        <v>35</v>
      </c>
      <c r="B36" t="s">
        <v>34</v>
      </c>
      <c r="D36">
        <v>35</v>
      </c>
      <c r="E36" t="s">
        <v>109</v>
      </c>
      <c r="F36">
        <f t="shared" si="0"/>
        <v>201236</v>
      </c>
    </row>
    <row r="37" spans="1:6" x14ac:dyDescent="0.25">
      <c r="A37">
        <v>36</v>
      </c>
      <c r="B37" t="s">
        <v>35</v>
      </c>
      <c r="D37">
        <v>36</v>
      </c>
      <c r="E37" t="s">
        <v>110</v>
      </c>
      <c r="F37">
        <f t="shared" si="0"/>
        <v>201239</v>
      </c>
    </row>
    <row r="38" spans="1:6" x14ac:dyDescent="0.25">
      <c r="A38">
        <v>37</v>
      </c>
      <c r="B38" t="s">
        <v>36</v>
      </c>
      <c r="D38">
        <v>37</v>
      </c>
      <c r="E38" t="s">
        <v>111</v>
      </c>
      <c r="F38">
        <f t="shared" si="0"/>
        <v>201240</v>
      </c>
    </row>
    <row r="39" spans="1:6" x14ac:dyDescent="0.25">
      <c r="A39">
        <v>38</v>
      </c>
      <c r="B39" t="s">
        <v>37</v>
      </c>
      <c r="D39">
        <v>38</v>
      </c>
      <c r="E39" t="s">
        <v>112</v>
      </c>
      <c r="F39">
        <f t="shared" si="0"/>
        <v>201241</v>
      </c>
    </row>
    <row r="40" spans="1:6" x14ac:dyDescent="0.25">
      <c r="A40">
        <v>39</v>
      </c>
      <c r="B40" t="s">
        <v>38</v>
      </c>
      <c r="D40">
        <v>39</v>
      </c>
      <c r="E40" t="s">
        <v>113</v>
      </c>
      <c r="F40">
        <f t="shared" si="0"/>
        <v>201244</v>
      </c>
    </row>
    <row r="41" spans="1:6" x14ac:dyDescent="0.25">
      <c r="A41">
        <v>40</v>
      </c>
      <c r="B41" t="s">
        <v>39</v>
      </c>
      <c r="D41">
        <v>40</v>
      </c>
      <c r="E41" t="s">
        <v>114</v>
      </c>
      <c r="F41">
        <f t="shared" si="0"/>
        <v>201243</v>
      </c>
    </row>
    <row r="42" spans="1:6" x14ac:dyDescent="0.25">
      <c r="A42">
        <v>41</v>
      </c>
      <c r="B42" t="s">
        <v>40</v>
      </c>
      <c r="D42">
        <v>41</v>
      </c>
      <c r="E42" t="s">
        <v>115</v>
      </c>
      <c r="F42">
        <f t="shared" si="0"/>
        <v>201242</v>
      </c>
    </row>
    <row r="43" spans="1:6" x14ac:dyDescent="0.25">
      <c r="A43">
        <v>42</v>
      </c>
      <c r="B43" t="s">
        <v>41</v>
      </c>
      <c r="D43">
        <v>42</v>
      </c>
      <c r="E43" t="s">
        <v>116</v>
      </c>
      <c r="F43">
        <f t="shared" si="0"/>
        <v>201247</v>
      </c>
    </row>
    <row r="44" spans="1:6" x14ac:dyDescent="0.25">
      <c r="A44">
        <v>43</v>
      </c>
      <c r="B44" t="s">
        <v>42</v>
      </c>
      <c r="D44">
        <v>43</v>
      </c>
      <c r="E44" t="s">
        <v>117</v>
      </c>
      <c r="F44">
        <f t="shared" si="0"/>
        <v>201246</v>
      </c>
    </row>
    <row r="45" spans="1:6" x14ac:dyDescent="0.25">
      <c r="A45">
        <v>44</v>
      </c>
      <c r="B45" t="s">
        <v>43</v>
      </c>
      <c r="D45">
        <v>44</v>
      </c>
      <c r="E45" t="s">
        <v>118</v>
      </c>
      <c r="F45">
        <f t="shared" si="0"/>
        <v>201245</v>
      </c>
    </row>
    <row r="46" spans="1:6" x14ac:dyDescent="0.25">
      <c r="A46">
        <v>45</v>
      </c>
      <c r="B46" t="s">
        <v>44</v>
      </c>
      <c r="D46">
        <v>45</v>
      </c>
      <c r="E46" t="s">
        <v>162</v>
      </c>
      <c r="F46">
        <f t="shared" si="0"/>
        <v>201252</v>
      </c>
    </row>
    <row r="47" spans="1:6" x14ac:dyDescent="0.25">
      <c r="A47">
        <v>46</v>
      </c>
      <c r="B47" t="s">
        <v>45</v>
      </c>
      <c r="D47">
        <v>46</v>
      </c>
      <c r="E47" t="s">
        <v>157</v>
      </c>
      <c r="F47">
        <f t="shared" si="0"/>
        <v>201249</v>
      </c>
    </row>
    <row r="48" spans="1:6" x14ac:dyDescent="0.25">
      <c r="A48">
        <v>47</v>
      </c>
      <c r="B48" t="s">
        <v>46</v>
      </c>
      <c r="D48">
        <v>47</v>
      </c>
      <c r="E48" t="s">
        <v>158</v>
      </c>
      <c r="F48">
        <f t="shared" si="0"/>
        <v>201253</v>
      </c>
    </row>
    <row r="49" spans="1:6" x14ac:dyDescent="0.25">
      <c r="A49">
        <v>48</v>
      </c>
      <c r="B49" t="s">
        <v>47</v>
      </c>
      <c r="D49">
        <v>48</v>
      </c>
      <c r="E49" t="s">
        <v>159</v>
      </c>
      <c r="F49">
        <f t="shared" si="0"/>
        <v>201250</v>
      </c>
    </row>
    <row r="50" spans="1:6" x14ac:dyDescent="0.25">
      <c r="A50">
        <v>49</v>
      </c>
      <c r="B50" t="s">
        <v>48</v>
      </c>
      <c r="D50">
        <v>49</v>
      </c>
      <c r="E50" t="s">
        <v>160</v>
      </c>
      <c r="F50">
        <f t="shared" si="0"/>
        <v>201248</v>
      </c>
    </row>
    <row r="51" spans="1:6" x14ac:dyDescent="0.25">
      <c r="A51">
        <v>50</v>
      </c>
      <c r="B51" t="s">
        <v>49</v>
      </c>
      <c r="D51">
        <v>50</v>
      </c>
      <c r="E51" t="s">
        <v>161</v>
      </c>
      <c r="F51">
        <f t="shared" si="0"/>
        <v>201251</v>
      </c>
    </row>
    <row r="52" spans="1:6" x14ac:dyDescent="0.25">
      <c r="A52">
        <v>51</v>
      </c>
      <c r="B52" t="s">
        <v>50</v>
      </c>
    </row>
    <row r="53" spans="1:6" x14ac:dyDescent="0.25">
      <c r="A53">
        <v>52</v>
      </c>
      <c r="B53" t="s">
        <v>51</v>
      </c>
    </row>
    <row r="54" spans="1:6" x14ac:dyDescent="0.25">
      <c r="A54">
        <v>53</v>
      </c>
      <c r="B54" t="s">
        <v>52</v>
      </c>
    </row>
    <row r="55" spans="1:6" x14ac:dyDescent="0.25">
      <c r="A55">
        <v>54</v>
      </c>
      <c r="B55" t="s">
        <v>53</v>
      </c>
    </row>
    <row r="56" spans="1:6" x14ac:dyDescent="0.25">
      <c r="A56">
        <v>55</v>
      </c>
      <c r="B56" t="s">
        <v>54</v>
      </c>
    </row>
    <row r="57" spans="1:6" x14ac:dyDescent="0.25">
      <c r="A57">
        <v>56</v>
      </c>
      <c r="B57" t="s">
        <v>55</v>
      </c>
    </row>
    <row r="58" spans="1:6" x14ac:dyDescent="0.25">
      <c r="A58">
        <v>57</v>
      </c>
      <c r="B58" t="s">
        <v>56</v>
      </c>
    </row>
    <row r="59" spans="1:6" x14ac:dyDescent="0.25">
      <c r="A59">
        <v>58</v>
      </c>
      <c r="B59" t="s">
        <v>57</v>
      </c>
    </row>
    <row r="60" spans="1:6" x14ac:dyDescent="0.25">
      <c r="A60">
        <v>59</v>
      </c>
      <c r="B60" t="s">
        <v>58</v>
      </c>
    </row>
    <row r="61" spans="1:6" x14ac:dyDescent="0.25">
      <c r="A61">
        <v>60</v>
      </c>
      <c r="B61" t="s">
        <v>59</v>
      </c>
    </row>
  </sheetData>
  <sheetProtection algorithmName="SHA-512" hashValue="GLBxjVtZqvzkQTPGUZuo+WHi4zuX2+iRK7ponll4YJu7jFzCXRgL29u+SxlJRXoxg9VxoqC0XidWHTkVsfdCng==" saltValue="otX8nHZYZ6RQ5YCUGUc8Og==" spinCount="100000" sheet="1" objects="1" scenarios="1"/>
  <phoneticPr fontId="18" type="noConversion"/>
  <conditionalFormatting sqref="F2:F51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F054-F7CA-421F-8EA8-E60A6BBFF39A}">
  <dimension ref="A1:R61"/>
  <sheetViews>
    <sheetView topLeftCell="A17" workbookViewId="0">
      <selection activeCell="H1" sqref="H1:I51"/>
    </sheetView>
  </sheetViews>
  <sheetFormatPr defaultRowHeight="15" x14ac:dyDescent="0.25"/>
  <cols>
    <col min="2" max="2" width="15.140625" bestFit="1" customWidth="1"/>
    <col min="5" max="5" width="15.85546875" bestFit="1" customWidth="1"/>
    <col min="9" max="9" width="15.85546875" bestFit="1" customWidth="1"/>
  </cols>
  <sheetData>
    <row r="1" spans="1:18" x14ac:dyDescent="0.25">
      <c r="A1" t="s">
        <v>61</v>
      </c>
      <c r="B1" t="s">
        <v>60</v>
      </c>
      <c r="D1" t="s">
        <v>62</v>
      </c>
      <c r="E1" t="s">
        <v>63</v>
      </c>
      <c r="F1" t="s">
        <v>128</v>
      </c>
      <c r="H1" t="s">
        <v>172</v>
      </c>
      <c r="I1" t="s">
        <v>173</v>
      </c>
    </row>
    <row r="2" spans="1:18" x14ac:dyDescent="0.25">
      <c r="A2">
        <v>1</v>
      </c>
      <c r="B2" t="s">
        <v>0</v>
      </c>
      <c r="D2">
        <v>1</v>
      </c>
      <c r="E2" t="s">
        <v>64</v>
      </c>
      <c r="F2">
        <f>VALUE(RIGHT(E2,6))</f>
        <v>201133</v>
      </c>
      <c r="H2">
        <v>1645258</v>
      </c>
      <c r="I2" t="s">
        <v>72</v>
      </c>
    </row>
    <row r="3" spans="1:18" x14ac:dyDescent="0.25">
      <c r="A3">
        <v>2</v>
      </c>
      <c r="B3" t="s">
        <v>1</v>
      </c>
      <c r="D3">
        <v>2</v>
      </c>
      <c r="E3" t="s">
        <v>65</v>
      </c>
      <c r="F3">
        <f t="shared" ref="F3:F51" si="0">VALUE(RIGHT(E3,6))</f>
        <v>201127</v>
      </c>
      <c r="H3">
        <v>1645259</v>
      </c>
      <c r="I3" t="s">
        <v>74</v>
      </c>
      <c r="L3" t="s">
        <v>171</v>
      </c>
      <c r="Q3" t="s">
        <v>169</v>
      </c>
      <c r="R3" t="s">
        <v>170</v>
      </c>
    </row>
    <row r="4" spans="1:18" x14ac:dyDescent="0.25">
      <c r="A4">
        <v>3</v>
      </c>
      <c r="B4" t="s">
        <v>2</v>
      </c>
      <c r="D4">
        <v>3</v>
      </c>
      <c r="E4" t="s">
        <v>66</v>
      </c>
      <c r="F4">
        <f t="shared" si="0"/>
        <v>201134</v>
      </c>
      <c r="H4">
        <v>1645260</v>
      </c>
      <c r="I4" t="s">
        <v>75</v>
      </c>
      <c r="L4" t="s">
        <v>171</v>
      </c>
      <c r="P4" t="s">
        <v>168</v>
      </c>
      <c r="Q4" t="s">
        <v>169</v>
      </c>
      <c r="R4" t="s">
        <v>170</v>
      </c>
    </row>
    <row r="5" spans="1:18" x14ac:dyDescent="0.25">
      <c r="A5">
        <v>4</v>
      </c>
      <c r="B5" t="s">
        <v>3</v>
      </c>
      <c r="D5">
        <v>4</v>
      </c>
      <c r="E5" t="s">
        <v>67</v>
      </c>
      <c r="F5">
        <f t="shared" si="0"/>
        <v>201128</v>
      </c>
      <c r="H5">
        <v>1645261</v>
      </c>
      <c r="I5" t="s">
        <v>73</v>
      </c>
      <c r="L5" t="s">
        <v>171</v>
      </c>
      <c r="P5" t="s">
        <v>168</v>
      </c>
      <c r="Q5" t="s">
        <v>169</v>
      </c>
      <c r="R5" t="s">
        <v>170</v>
      </c>
    </row>
    <row r="6" spans="1:18" x14ac:dyDescent="0.25">
      <c r="A6">
        <v>5</v>
      </c>
      <c r="B6" t="s">
        <v>4</v>
      </c>
      <c r="D6">
        <v>5</v>
      </c>
      <c r="E6" t="s">
        <v>68</v>
      </c>
      <c r="F6">
        <f t="shared" si="0"/>
        <v>201129</v>
      </c>
      <c r="H6">
        <v>1645262</v>
      </c>
      <c r="I6" t="s">
        <v>76</v>
      </c>
      <c r="L6" t="s">
        <v>171</v>
      </c>
      <c r="P6" t="s">
        <v>168</v>
      </c>
      <c r="Q6" t="s">
        <v>169</v>
      </c>
      <c r="R6" t="s">
        <v>170</v>
      </c>
    </row>
    <row r="7" spans="1:18" x14ac:dyDescent="0.25">
      <c r="A7">
        <v>6</v>
      </c>
      <c r="B7" t="s">
        <v>5</v>
      </c>
      <c r="D7">
        <v>6</v>
      </c>
      <c r="E7" t="s">
        <v>69</v>
      </c>
      <c r="F7">
        <f t="shared" si="0"/>
        <v>201131</v>
      </c>
      <c r="H7">
        <v>1645263</v>
      </c>
      <c r="I7" t="s">
        <v>77</v>
      </c>
      <c r="L7" t="s">
        <v>171</v>
      </c>
      <c r="P7" t="s">
        <v>168</v>
      </c>
      <c r="Q7" t="s">
        <v>169</v>
      </c>
      <c r="R7" t="s">
        <v>170</v>
      </c>
    </row>
    <row r="8" spans="1:18" x14ac:dyDescent="0.25">
      <c r="A8">
        <v>7</v>
      </c>
      <c r="B8" t="s">
        <v>6</v>
      </c>
      <c r="D8">
        <v>7</v>
      </c>
      <c r="E8" t="s">
        <v>70</v>
      </c>
      <c r="F8">
        <f t="shared" si="0"/>
        <v>201130</v>
      </c>
      <c r="H8">
        <v>1645264</v>
      </c>
      <c r="I8" t="s">
        <v>78</v>
      </c>
      <c r="L8" t="s">
        <v>171</v>
      </c>
      <c r="P8" t="s">
        <v>168</v>
      </c>
      <c r="Q8" t="s">
        <v>169</v>
      </c>
      <c r="R8" t="s">
        <v>170</v>
      </c>
    </row>
    <row r="9" spans="1:18" x14ac:dyDescent="0.25">
      <c r="A9">
        <v>8</v>
      </c>
      <c r="B9" t="s">
        <v>7</v>
      </c>
      <c r="D9">
        <v>8</v>
      </c>
      <c r="E9" t="s">
        <v>71</v>
      </c>
      <c r="F9">
        <f t="shared" si="0"/>
        <v>201132</v>
      </c>
      <c r="H9">
        <v>1645265</v>
      </c>
      <c r="I9" t="s">
        <v>79</v>
      </c>
      <c r="L9" t="s">
        <v>171</v>
      </c>
      <c r="P9" t="s">
        <v>168</v>
      </c>
      <c r="Q9" t="s">
        <v>169</v>
      </c>
      <c r="R9" t="s">
        <v>170</v>
      </c>
    </row>
    <row r="10" spans="1:18" x14ac:dyDescent="0.25">
      <c r="A10">
        <v>9</v>
      </c>
      <c r="B10" t="s">
        <v>8</v>
      </c>
      <c r="D10">
        <v>9</v>
      </c>
      <c r="E10" t="s">
        <v>72</v>
      </c>
      <c r="F10">
        <f t="shared" si="0"/>
        <v>201212</v>
      </c>
      <c r="H10">
        <v>1645266</v>
      </c>
      <c r="I10" t="s">
        <v>80</v>
      </c>
      <c r="L10" t="s">
        <v>171</v>
      </c>
      <c r="P10" t="s">
        <v>168</v>
      </c>
      <c r="Q10" t="s">
        <v>169</v>
      </c>
      <c r="R10" t="s">
        <v>170</v>
      </c>
    </row>
    <row r="11" spans="1:18" x14ac:dyDescent="0.25">
      <c r="A11">
        <v>10</v>
      </c>
      <c r="B11" t="s">
        <v>9</v>
      </c>
      <c r="D11">
        <v>10</v>
      </c>
      <c r="E11" t="s">
        <v>73</v>
      </c>
      <c r="F11">
        <f t="shared" si="0"/>
        <v>201215</v>
      </c>
      <c r="H11">
        <v>1645267</v>
      </c>
      <c r="I11" t="s">
        <v>83</v>
      </c>
      <c r="L11" t="s">
        <v>171</v>
      </c>
      <c r="P11" t="s">
        <v>168</v>
      </c>
      <c r="Q11" t="s">
        <v>169</v>
      </c>
      <c r="R11" t="s">
        <v>170</v>
      </c>
    </row>
    <row r="12" spans="1:18" x14ac:dyDescent="0.25">
      <c r="A12">
        <v>11</v>
      </c>
      <c r="B12" t="s">
        <v>10</v>
      </c>
      <c r="D12">
        <v>11</v>
      </c>
      <c r="E12" t="s">
        <v>74</v>
      </c>
      <c r="F12">
        <f t="shared" si="0"/>
        <v>201213</v>
      </c>
      <c r="H12">
        <v>1645268</v>
      </c>
      <c r="I12" t="s">
        <v>82</v>
      </c>
      <c r="L12" t="s">
        <v>171</v>
      </c>
      <c r="P12" t="s">
        <v>168</v>
      </c>
      <c r="Q12" t="s">
        <v>169</v>
      </c>
      <c r="R12" t="s">
        <v>170</v>
      </c>
    </row>
    <row r="13" spans="1:18" x14ac:dyDescent="0.25">
      <c r="A13">
        <v>12</v>
      </c>
      <c r="B13" t="s">
        <v>11</v>
      </c>
      <c r="D13">
        <v>12</v>
      </c>
      <c r="E13" t="s">
        <v>75</v>
      </c>
      <c r="F13">
        <f t="shared" si="0"/>
        <v>201214</v>
      </c>
      <c r="H13">
        <v>1645269</v>
      </c>
      <c r="I13" t="s">
        <v>81</v>
      </c>
      <c r="L13" t="s">
        <v>171</v>
      </c>
      <c r="P13" t="s">
        <v>168</v>
      </c>
      <c r="Q13" t="s">
        <v>169</v>
      </c>
      <c r="R13" t="s">
        <v>170</v>
      </c>
    </row>
    <row r="14" spans="1:18" x14ac:dyDescent="0.25">
      <c r="A14">
        <v>13</v>
      </c>
      <c r="B14" t="s">
        <v>12</v>
      </c>
      <c r="D14">
        <v>13</v>
      </c>
      <c r="E14" t="s">
        <v>76</v>
      </c>
      <c r="F14">
        <f t="shared" si="0"/>
        <v>201216</v>
      </c>
      <c r="H14">
        <v>1645270</v>
      </c>
      <c r="I14" t="s">
        <v>144</v>
      </c>
      <c r="L14" t="s">
        <v>171</v>
      </c>
      <c r="P14" t="s">
        <v>168</v>
      </c>
      <c r="Q14" t="s">
        <v>169</v>
      </c>
      <c r="R14" t="s">
        <v>170</v>
      </c>
    </row>
    <row r="15" spans="1:18" x14ac:dyDescent="0.25">
      <c r="A15">
        <v>14</v>
      </c>
      <c r="B15" t="s">
        <v>13</v>
      </c>
      <c r="D15">
        <v>14</v>
      </c>
      <c r="E15" t="s">
        <v>77</v>
      </c>
      <c r="F15">
        <f t="shared" si="0"/>
        <v>201217</v>
      </c>
      <c r="H15">
        <v>1645271</v>
      </c>
      <c r="I15" t="s">
        <v>84</v>
      </c>
      <c r="L15" t="s">
        <v>171</v>
      </c>
      <c r="P15" t="s">
        <v>168</v>
      </c>
      <c r="Q15" t="s">
        <v>169</v>
      </c>
      <c r="R15" t="s">
        <v>170</v>
      </c>
    </row>
    <row r="16" spans="1:18" x14ac:dyDescent="0.25">
      <c r="A16">
        <v>15</v>
      </c>
      <c r="B16" t="s">
        <v>14</v>
      </c>
      <c r="D16">
        <v>15</v>
      </c>
      <c r="E16" t="s">
        <v>78</v>
      </c>
      <c r="F16">
        <f t="shared" si="0"/>
        <v>201218</v>
      </c>
      <c r="H16">
        <v>1645272</v>
      </c>
      <c r="I16" t="s">
        <v>85</v>
      </c>
      <c r="L16" t="s">
        <v>171</v>
      </c>
      <c r="P16" t="s">
        <v>168</v>
      </c>
      <c r="Q16" t="s">
        <v>169</v>
      </c>
      <c r="R16" t="s">
        <v>170</v>
      </c>
    </row>
    <row r="17" spans="1:18" x14ac:dyDescent="0.25">
      <c r="A17">
        <v>16</v>
      </c>
      <c r="B17" t="s">
        <v>15</v>
      </c>
      <c r="D17">
        <v>16</v>
      </c>
      <c r="E17" t="s">
        <v>79</v>
      </c>
      <c r="F17">
        <f t="shared" si="0"/>
        <v>201219</v>
      </c>
      <c r="H17">
        <v>1645273</v>
      </c>
      <c r="I17" t="s">
        <v>86</v>
      </c>
      <c r="L17" t="s">
        <v>171</v>
      </c>
      <c r="P17" t="s">
        <v>168</v>
      </c>
      <c r="Q17" t="s">
        <v>169</v>
      </c>
      <c r="R17" t="s">
        <v>170</v>
      </c>
    </row>
    <row r="18" spans="1:18" x14ac:dyDescent="0.25">
      <c r="A18">
        <v>17</v>
      </c>
      <c r="B18" t="s">
        <v>16</v>
      </c>
      <c r="D18">
        <v>17</v>
      </c>
      <c r="E18" t="s">
        <v>80</v>
      </c>
      <c r="F18">
        <f t="shared" si="0"/>
        <v>201220</v>
      </c>
      <c r="H18">
        <v>1645274</v>
      </c>
      <c r="I18" t="s">
        <v>87</v>
      </c>
      <c r="L18" t="s">
        <v>171</v>
      </c>
      <c r="P18" t="s">
        <v>168</v>
      </c>
      <c r="Q18" t="s">
        <v>169</v>
      </c>
      <c r="R18" t="s">
        <v>170</v>
      </c>
    </row>
    <row r="19" spans="1:18" x14ac:dyDescent="0.25">
      <c r="A19">
        <v>18</v>
      </c>
      <c r="B19" t="s">
        <v>17</v>
      </c>
      <c r="D19">
        <v>18</v>
      </c>
      <c r="E19" t="s">
        <v>81</v>
      </c>
      <c r="F19">
        <f t="shared" si="0"/>
        <v>201223</v>
      </c>
      <c r="H19">
        <v>1645275</v>
      </c>
      <c r="I19" t="s">
        <v>100</v>
      </c>
      <c r="L19" t="s">
        <v>171</v>
      </c>
      <c r="P19" t="s">
        <v>168</v>
      </c>
      <c r="Q19" t="s">
        <v>169</v>
      </c>
      <c r="R19" t="s">
        <v>170</v>
      </c>
    </row>
    <row r="20" spans="1:18" x14ac:dyDescent="0.25">
      <c r="A20">
        <v>19</v>
      </c>
      <c r="B20" t="s">
        <v>18</v>
      </c>
      <c r="D20">
        <v>19</v>
      </c>
      <c r="E20" t="s">
        <v>82</v>
      </c>
      <c r="F20">
        <f t="shared" si="0"/>
        <v>201222</v>
      </c>
      <c r="H20">
        <v>1645276</v>
      </c>
      <c r="I20" t="s">
        <v>103</v>
      </c>
      <c r="L20" t="s">
        <v>171</v>
      </c>
      <c r="P20" t="s">
        <v>168</v>
      </c>
      <c r="Q20" t="s">
        <v>169</v>
      </c>
      <c r="R20" t="s">
        <v>170</v>
      </c>
    </row>
    <row r="21" spans="1:18" x14ac:dyDescent="0.25">
      <c r="A21">
        <v>20</v>
      </c>
      <c r="B21" t="s">
        <v>19</v>
      </c>
      <c r="D21">
        <v>20</v>
      </c>
      <c r="E21" t="s">
        <v>83</v>
      </c>
      <c r="F21">
        <f t="shared" si="0"/>
        <v>201221</v>
      </c>
      <c r="H21">
        <v>1645277</v>
      </c>
      <c r="I21" t="s">
        <v>102</v>
      </c>
      <c r="L21" t="s">
        <v>171</v>
      </c>
      <c r="P21" t="s">
        <v>168</v>
      </c>
      <c r="Q21" t="s">
        <v>169</v>
      </c>
      <c r="R21" t="s">
        <v>170</v>
      </c>
    </row>
    <row r="22" spans="1:18" x14ac:dyDescent="0.25">
      <c r="A22">
        <v>21</v>
      </c>
      <c r="B22" t="s">
        <v>20</v>
      </c>
      <c r="D22">
        <v>21</v>
      </c>
      <c r="E22" t="s">
        <v>144</v>
      </c>
      <c r="F22">
        <f t="shared" si="0"/>
        <v>201224</v>
      </c>
      <c r="H22">
        <v>1645278</v>
      </c>
      <c r="I22" t="s">
        <v>101</v>
      </c>
      <c r="L22" t="s">
        <v>171</v>
      </c>
      <c r="P22" t="s">
        <v>168</v>
      </c>
      <c r="Q22" t="s">
        <v>169</v>
      </c>
      <c r="R22" t="s">
        <v>170</v>
      </c>
    </row>
    <row r="23" spans="1:18" x14ac:dyDescent="0.25">
      <c r="A23">
        <v>22</v>
      </c>
      <c r="B23" t="s">
        <v>21</v>
      </c>
      <c r="D23">
        <v>22</v>
      </c>
      <c r="E23" t="s">
        <v>84</v>
      </c>
      <c r="F23">
        <f t="shared" si="0"/>
        <v>201225</v>
      </c>
      <c r="H23">
        <v>1645279</v>
      </c>
      <c r="I23" t="s">
        <v>106</v>
      </c>
      <c r="L23" t="s">
        <v>171</v>
      </c>
      <c r="P23" t="s">
        <v>168</v>
      </c>
      <c r="Q23" t="s">
        <v>169</v>
      </c>
      <c r="R23" t="s">
        <v>170</v>
      </c>
    </row>
    <row r="24" spans="1:18" x14ac:dyDescent="0.25">
      <c r="A24">
        <v>23</v>
      </c>
      <c r="B24" t="s">
        <v>22</v>
      </c>
      <c r="D24">
        <v>23</v>
      </c>
      <c r="E24" t="s">
        <v>85</v>
      </c>
      <c r="F24">
        <f t="shared" si="0"/>
        <v>201226</v>
      </c>
      <c r="H24">
        <v>1645280</v>
      </c>
      <c r="I24" t="s">
        <v>105</v>
      </c>
      <c r="L24" t="s">
        <v>171</v>
      </c>
      <c r="P24" t="s">
        <v>168</v>
      </c>
      <c r="Q24" t="s">
        <v>169</v>
      </c>
      <c r="R24" t="s">
        <v>170</v>
      </c>
    </row>
    <row r="25" spans="1:18" x14ac:dyDescent="0.25">
      <c r="A25">
        <v>24</v>
      </c>
      <c r="B25" t="s">
        <v>23</v>
      </c>
      <c r="D25">
        <v>24</v>
      </c>
      <c r="E25" t="s">
        <v>86</v>
      </c>
      <c r="F25">
        <f t="shared" si="0"/>
        <v>201227</v>
      </c>
      <c r="H25">
        <v>1645281</v>
      </c>
      <c r="I25" t="s">
        <v>104</v>
      </c>
      <c r="L25" t="s">
        <v>171</v>
      </c>
      <c r="P25" t="s">
        <v>168</v>
      </c>
      <c r="Q25" t="s">
        <v>169</v>
      </c>
      <c r="R25" t="s">
        <v>170</v>
      </c>
    </row>
    <row r="26" spans="1:18" x14ac:dyDescent="0.25">
      <c r="A26">
        <v>25</v>
      </c>
      <c r="B26" t="s">
        <v>24</v>
      </c>
      <c r="D26">
        <v>25</v>
      </c>
      <c r="E26" t="s">
        <v>87</v>
      </c>
      <c r="F26">
        <f t="shared" si="0"/>
        <v>201228</v>
      </c>
      <c r="H26">
        <v>1645282</v>
      </c>
      <c r="I26" t="s">
        <v>109</v>
      </c>
      <c r="L26" t="s">
        <v>171</v>
      </c>
      <c r="P26" t="s">
        <v>168</v>
      </c>
      <c r="Q26" t="s">
        <v>169</v>
      </c>
      <c r="R26" t="s">
        <v>170</v>
      </c>
    </row>
    <row r="27" spans="1:18" x14ac:dyDescent="0.25">
      <c r="A27">
        <v>26</v>
      </c>
      <c r="B27" t="s">
        <v>25</v>
      </c>
      <c r="D27">
        <v>26</v>
      </c>
      <c r="E27" t="s">
        <v>100</v>
      </c>
      <c r="F27">
        <f t="shared" si="0"/>
        <v>201229</v>
      </c>
      <c r="H27">
        <v>1645283</v>
      </c>
      <c r="I27" t="s">
        <v>108</v>
      </c>
      <c r="L27" t="s">
        <v>171</v>
      </c>
      <c r="P27" t="s">
        <v>168</v>
      </c>
      <c r="Q27" t="s">
        <v>169</v>
      </c>
      <c r="R27" t="s">
        <v>170</v>
      </c>
    </row>
    <row r="28" spans="1:18" x14ac:dyDescent="0.25">
      <c r="A28">
        <v>27</v>
      </c>
      <c r="B28" t="s">
        <v>26</v>
      </c>
      <c r="D28">
        <v>27</v>
      </c>
      <c r="E28" t="s">
        <v>101</v>
      </c>
      <c r="F28">
        <f t="shared" si="0"/>
        <v>201232</v>
      </c>
      <c r="H28">
        <v>1645284</v>
      </c>
      <c r="I28" t="s">
        <v>107</v>
      </c>
      <c r="L28" t="s">
        <v>171</v>
      </c>
      <c r="P28" t="s">
        <v>168</v>
      </c>
      <c r="Q28" t="s">
        <v>169</v>
      </c>
      <c r="R28" t="s">
        <v>170</v>
      </c>
    </row>
    <row r="29" spans="1:18" x14ac:dyDescent="0.25">
      <c r="A29">
        <v>28</v>
      </c>
      <c r="B29" t="s">
        <v>27</v>
      </c>
      <c r="D29">
        <v>28</v>
      </c>
      <c r="E29" t="s">
        <v>102</v>
      </c>
      <c r="F29">
        <f t="shared" si="0"/>
        <v>201231</v>
      </c>
      <c r="H29">
        <v>1645285</v>
      </c>
      <c r="I29" t="s">
        <v>110</v>
      </c>
      <c r="L29" t="s">
        <v>171</v>
      </c>
      <c r="P29" t="s">
        <v>168</v>
      </c>
      <c r="Q29" t="s">
        <v>169</v>
      </c>
      <c r="R29" t="s">
        <v>170</v>
      </c>
    </row>
    <row r="30" spans="1:18" x14ac:dyDescent="0.25">
      <c r="A30">
        <v>29</v>
      </c>
      <c r="B30" t="s">
        <v>28</v>
      </c>
      <c r="D30">
        <v>29</v>
      </c>
      <c r="E30" t="s">
        <v>103</v>
      </c>
      <c r="F30">
        <f t="shared" si="0"/>
        <v>201230</v>
      </c>
      <c r="H30">
        <v>1645286</v>
      </c>
      <c r="I30" t="s">
        <v>111</v>
      </c>
      <c r="L30" t="s">
        <v>171</v>
      </c>
      <c r="P30" t="s">
        <v>168</v>
      </c>
      <c r="Q30" t="s">
        <v>169</v>
      </c>
      <c r="R30" t="s">
        <v>170</v>
      </c>
    </row>
    <row r="31" spans="1:18" x14ac:dyDescent="0.25">
      <c r="A31">
        <v>30</v>
      </c>
      <c r="B31" t="s">
        <v>29</v>
      </c>
      <c r="D31">
        <v>30</v>
      </c>
      <c r="E31" t="s">
        <v>104</v>
      </c>
      <c r="F31">
        <f t="shared" si="0"/>
        <v>201235</v>
      </c>
      <c r="H31">
        <v>1645287</v>
      </c>
      <c r="I31" t="s">
        <v>112</v>
      </c>
      <c r="L31" t="s">
        <v>171</v>
      </c>
      <c r="P31" t="s">
        <v>168</v>
      </c>
      <c r="Q31" t="s">
        <v>169</v>
      </c>
      <c r="R31" t="s">
        <v>170</v>
      </c>
    </row>
    <row r="32" spans="1:18" x14ac:dyDescent="0.25">
      <c r="A32">
        <v>31</v>
      </c>
      <c r="B32" t="s">
        <v>30</v>
      </c>
      <c r="D32">
        <v>31</v>
      </c>
      <c r="E32" t="s">
        <v>105</v>
      </c>
      <c r="F32">
        <f t="shared" si="0"/>
        <v>201234</v>
      </c>
      <c r="H32">
        <v>1645288</v>
      </c>
      <c r="I32" t="s">
        <v>115</v>
      </c>
      <c r="L32" t="s">
        <v>171</v>
      </c>
      <c r="P32" t="s">
        <v>168</v>
      </c>
      <c r="Q32" t="s">
        <v>169</v>
      </c>
      <c r="R32" t="s">
        <v>170</v>
      </c>
    </row>
    <row r="33" spans="1:18" x14ac:dyDescent="0.25">
      <c r="A33">
        <v>32</v>
      </c>
      <c r="B33" t="s">
        <v>31</v>
      </c>
      <c r="D33">
        <v>32</v>
      </c>
      <c r="E33" t="s">
        <v>106</v>
      </c>
      <c r="F33">
        <f t="shared" si="0"/>
        <v>201233</v>
      </c>
      <c r="H33">
        <v>1645289</v>
      </c>
      <c r="I33" t="s">
        <v>114</v>
      </c>
      <c r="L33" t="s">
        <v>171</v>
      </c>
      <c r="P33" t="s">
        <v>168</v>
      </c>
      <c r="Q33" t="s">
        <v>169</v>
      </c>
      <c r="R33" t="s">
        <v>170</v>
      </c>
    </row>
    <row r="34" spans="1:18" x14ac:dyDescent="0.25">
      <c r="A34">
        <v>33</v>
      </c>
      <c r="B34" t="s">
        <v>32</v>
      </c>
      <c r="D34">
        <v>33</v>
      </c>
      <c r="E34" t="s">
        <v>107</v>
      </c>
      <c r="F34">
        <f t="shared" si="0"/>
        <v>201238</v>
      </c>
      <c r="H34">
        <v>1645290</v>
      </c>
      <c r="I34" t="s">
        <v>113</v>
      </c>
      <c r="L34" t="s">
        <v>171</v>
      </c>
      <c r="P34" t="s">
        <v>168</v>
      </c>
      <c r="Q34" t="s">
        <v>169</v>
      </c>
      <c r="R34" t="s">
        <v>170</v>
      </c>
    </row>
    <row r="35" spans="1:18" x14ac:dyDescent="0.25">
      <c r="A35">
        <v>34</v>
      </c>
      <c r="B35" t="s">
        <v>33</v>
      </c>
      <c r="D35">
        <v>34</v>
      </c>
      <c r="E35" t="s">
        <v>108</v>
      </c>
      <c r="F35">
        <f t="shared" si="0"/>
        <v>201237</v>
      </c>
      <c r="H35">
        <v>1645291</v>
      </c>
      <c r="I35" t="s">
        <v>118</v>
      </c>
      <c r="L35" t="s">
        <v>171</v>
      </c>
      <c r="P35" t="s">
        <v>168</v>
      </c>
      <c r="Q35" t="s">
        <v>169</v>
      </c>
      <c r="R35" t="s">
        <v>170</v>
      </c>
    </row>
    <row r="36" spans="1:18" x14ac:dyDescent="0.25">
      <c r="A36">
        <v>35</v>
      </c>
      <c r="B36" t="s">
        <v>34</v>
      </c>
      <c r="D36">
        <v>35</v>
      </c>
      <c r="E36" t="s">
        <v>109</v>
      </c>
      <c r="F36">
        <f t="shared" si="0"/>
        <v>201236</v>
      </c>
      <c r="H36">
        <v>1645292</v>
      </c>
      <c r="I36" t="s">
        <v>117</v>
      </c>
      <c r="L36" t="s">
        <v>171</v>
      </c>
      <c r="P36" t="s">
        <v>168</v>
      </c>
      <c r="Q36" t="s">
        <v>169</v>
      </c>
      <c r="R36" t="s">
        <v>170</v>
      </c>
    </row>
    <row r="37" spans="1:18" x14ac:dyDescent="0.25">
      <c r="A37">
        <v>36</v>
      </c>
      <c r="B37" t="s">
        <v>35</v>
      </c>
      <c r="D37">
        <v>36</v>
      </c>
      <c r="E37" t="s">
        <v>110</v>
      </c>
      <c r="F37">
        <f t="shared" si="0"/>
        <v>201239</v>
      </c>
      <c r="H37">
        <v>1645293</v>
      </c>
      <c r="I37" t="s">
        <v>116</v>
      </c>
      <c r="L37" t="s">
        <v>171</v>
      </c>
      <c r="P37" t="s">
        <v>168</v>
      </c>
      <c r="Q37" t="s">
        <v>169</v>
      </c>
      <c r="R37" t="s">
        <v>170</v>
      </c>
    </row>
    <row r="38" spans="1:18" x14ac:dyDescent="0.25">
      <c r="A38">
        <v>37</v>
      </c>
      <c r="B38" t="s">
        <v>36</v>
      </c>
      <c r="D38">
        <v>37</v>
      </c>
      <c r="E38" t="s">
        <v>111</v>
      </c>
      <c r="F38">
        <f t="shared" si="0"/>
        <v>201240</v>
      </c>
      <c r="H38">
        <v>1645294</v>
      </c>
      <c r="I38" t="s">
        <v>160</v>
      </c>
      <c r="L38" t="s">
        <v>171</v>
      </c>
      <c r="P38" t="s">
        <v>168</v>
      </c>
      <c r="Q38" t="s">
        <v>169</v>
      </c>
      <c r="R38" t="s">
        <v>170</v>
      </c>
    </row>
    <row r="39" spans="1:18" x14ac:dyDescent="0.25">
      <c r="A39">
        <v>38</v>
      </c>
      <c r="B39" t="s">
        <v>37</v>
      </c>
      <c r="D39">
        <v>38</v>
      </c>
      <c r="E39" t="s">
        <v>112</v>
      </c>
      <c r="F39">
        <f t="shared" si="0"/>
        <v>201241</v>
      </c>
      <c r="H39">
        <v>1645295</v>
      </c>
      <c r="I39" t="s">
        <v>157</v>
      </c>
      <c r="L39" t="s">
        <v>171</v>
      </c>
      <c r="P39" t="s">
        <v>168</v>
      </c>
      <c r="Q39" t="s">
        <v>169</v>
      </c>
      <c r="R39" t="s">
        <v>170</v>
      </c>
    </row>
    <row r="40" spans="1:18" x14ac:dyDescent="0.25">
      <c r="A40">
        <v>39</v>
      </c>
      <c r="B40" t="s">
        <v>38</v>
      </c>
      <c r="D40">
        <v>39</v>
      </c>
      <c r="E40" t="s">
        <v>113</v>
      </c>
      <c r="F40">
        <f t="shared" si="0"/>
        <v>201244</v>
      </c>
      <c r="H40">
        <v>1645296</v>
      </c>
      <c r="I40" t="s">
        <v>159</v>
      </c>
      <c r="L40" t="s">
        <v>171</v>
      </c>
      <c r="P40" t="s">
        <v>168</v>
      </c>
      <c r="Q40" t="s">
        <v>169</v>
      </c>
      <c r="R40" t="s">
        <v>170</v>
      </c>
    </row>
    <row r="41" spans="1:18" x14ac:dyDescent="0.25">
      <c r="A41">
        <v>40</v>
      </c>
      <c r="B41" t="s">
        <v>39</v>
      </c>
      <c r="D41">
        <v>40</v>
      </c>
      <c r="E41" t="s">
        <v>114</v>
      </c>
      <c r="F41">
        <f t="shared" si="0"/>
        <v>201243</v>
      </c>
      <c r="H41">
        <v>1645297</v>
      </c>
      <c r="I41" t="s">
        <v>161</v>
      </c>
      <c r="L41" t="s">
        <v>171</v>
      </c>
      <c r="P41" t="s">
        <v>168</v>
      </c>
      <c r="Q41" t="s">
        <v>169</v>
      </c>
      <c r="R41" t="s">
        <v>170</v>
      </c>
    </row>
    <row r="42" spans="1:18" x14ac:dyDescent="0.25">
      <c r="A42">
        <v>41</v>
      </c>
      <c r="B42" t="s">
        <v>40</v>
      </c>
      <c r="D42">
        <v>41</v>
      </c>
      <c r="E42" t="s">
        <v>115</v>
      </c>
      <c r="F42">
        <f t="shared" si="0"/>
        <v>201242</v>
      </c>
      <c r="H42">
        <v>1645298</v>
      </c>
      <c r="I42" t="s">
        <v>162</v>
      </c>
      <c r="L42" t="s">
        <v>171</v>
      </c>
      <c r="P42" t="s">
        <v>168</v>
      </c>
      <c r="Q42" t="s">
        <v>169</v>
      </c>
      <c r="R42" t="s">
        <v>170</v>
      </c>
    </row>
    <row r="43" spans="1:18" x14ac:dyDescent="0.25">
      <c r="A43">
        <v>42</v>
      </c>
      <c r="B43" t="s">
        <v>41</v>
      </c>
      <c r="D43">
        <v>42</v>
      </c>
      <c r="E43" t="s">
        <v>116</v>
      </c>
      <c r="F43">
        <f t="shared" si="0"/>
        <v>201247</v>
      </c>
      <c r="H43">
        <v>1645299</v>
      </c>
      <c r="I43" t="s">
        <v>158</v>
      </c>
      <c r="L43" t="s">
        <v>171</v>
      </c>
      <c r="P43" t="s">
        <v>168</v>
      </c>
      <c r="Q43" t="s">
        <v>169</v>
      </c>
      <c r="R43" t="s">
        <v>170</v>
      </c>
    </row>
    <row r="44" spans="1:18" x14ac:dyDescent="0.25">
      <c r="A44">
        <v>43</v>
      </c>
      <c r="B44" t="s">
        <v>42</v>
      </c>
      <c r="D44">
        <v>43</v>
      </c>
      <c r="E44" t="s">
        <v>117</v>
      </c>
      <c r="F44">
        <f t="shared" si="0"/>
        <v>201246</v>
      </c>
      <c r="H44">
        <v>1638355</v>
      </c>
      <c r="I44" t="s">
        <v>65</v>
      </c>
      <c r="P44" t="s">
        <v>168</v>
      </c>
      <c r="Q44" t="s">
        <v>169</v>
      </c>
      <c r="R44" t="s">
        <v>170</v>
      </c>
    </row>
    <row r="45" spans="1:18" x14ac:dyDescent="0.25">
      <c r="A45">
        <v>44</v>
      </c>
      <c r="B45" t="s">
        <v>43</v>
      </c>
      <c r="D45">
        <v>44</v>
      </c>
      <c r="E45" t="s">
        <v>118</v>
      </c>
      <c r="F45">
        <f t="shared" si="0"/>
        <v>201245</v>
      </c>
      <c r="H45">
        <v>1638356</v>
      </c>
      <c r="I45" t="s">
        <v>67</v>
      </c>
    </row>
    <row r="46" spans="1:18" x14ac:dyDescent="0.25">
      <c r="A46">
        <v>45</v>
      </c>
      <c r="B46" t="s">
        <v>44</v>
      </c>
      <c r="D46">
        <v>45</v>
      </c>
      <c r="E46" t="s">
        <v>162</v>
      </c>
      <c r="F46">
        <f t="shared" si="0"/>
        <v>201252</v>
      </c>
      <c r="H46">
        <v>1638357</v>
      </c>
      <c r="I46" t="s">
        <v>68</v>
      </c>
    </row>
    <row r="47" spans="1:18" x14ac:dyDescent="0.25">
      <c r="A47">
        <v>46</v>
      </c>
      <c r="B47" t="s">
        <v>45</v>
      </c>
      <c r="D47">
        <v>46</v>
      </c>
      <c r="E47" t="s">
        <v>157</v>
      </c>
      <c r="F47">
        <f t="shared" si="0"/>
        <v>201249</v>
      </c>
      <c r="H47">
        <v>1638358</v>
      </c>
      <c r="I47" t="s">
        <v>70</v>
      </c>
    </row>
    <row r="48" spans="1:18" x14ac:dyDescent="0.25">
      <c r="A48">
        <v>47</v>
      </c>
      <c r="B48" t="s">
        <v>46</v>
      </c>
      <c r="D48">
        <v>47</v>
      </c>
      <c r="E48" t="s">
        <v>158</v>
      </c>
      <c r="F48">
        <f t="shared" si="0"/>
        <v>201253</v>
      </c>
      <c r="H48">
        <v>1638359</v>
      </c>
      <c r="I48" t="s">
        <v>69</v>
      </c>
    </row>
    <row r="49" spans="1:9" x14ac:dyDescent="0.25">
      <c r="A49">
        <v>48</v>
      </c>
      <c r="B49" t="s">
        <v>47</v>
      </c>
      <c r="D49">
        <v>48</v>
      </c>
      <c r="E49" t="s">
        <v>159</v>
      </c>
      <c r="F49">
        <f t="shared" si="0"/>
        <v>201250</v>
      </c>
      <c r="H49">
        <v>1638360</v>
      </c>
      <c r="I49" t="s">
        <v>71</v>
      </c>
    </row>
    <row r="50" spans="1:9" x14ac:dyDescent="0.25">
      <c r="A50">
        <v>49</v>
      </c>
      <c r="B50" t="s">
        <v>48</v>
      </c>
      <c r="D50">
        <v>49</v>
      </c>
      <c r="E50" t="s">
        <v>160</v>
      </c>
      <c r="F50">
        <f t="shared" si="0"/>
        <v>201248</v>
      </c>
      <c r="H50">
        <v>1638361</v>
      </c>
      <c r="I50" t="s">
        <v>64</v>
      </c>
    </row>
    <row r="51" spans="1:9" x14ac:dyDescent="0.25">
      <c r="A51">
        <v>50</v>
      </c>
      <c r="B51" t="s">
        <v>49</v>
      </c>
      <c r="D51">
        <v>50</v>
      </c>
      <c r="E51" t="s">
        <v>161</v>
      </c>
      <c r="F51">
        <f t="shared" si="0"/>
        <v>201251</v>
      </c>
      <c r="H51">
        <v>1638362</v>
      </c>
      <c r="I51" t="s">
        <v>66</v>
      </c>
    </row>
    <row r="52" spans="1:9" x14ac:dyDescent="0.25">
      <c r="A52">
        <v>51</v>
      </c>
      <c r="B52" t="s">
        <v>50</v>
      </c>
    </row>
    <row r="53" spans="1:9" x14ac:dyDescent="0.25">
      <c r="A53">
        <v>52</v>
      </c>
      <c r="B53" t="s">
        <v>51</v>
      </c>
    </row>
    <row r="54" spans="1:9" x14ac:dyDescent="0.25">
      <c r="A54">
        <v>53</v>
      </c>
      <c r="B54" t="s">
        <v>52</v>
      </c>
    </row>
    <row r="55" spans="1:9" x14ac:dyDescent="0.25">
      <c r="A55">
        <v>54</v>
      </c>
      <c r="B55" t="s">
        <v>53</v>
      </c>
    </row>
    <row r="56" spans="1:9" x14ac:dyDescent="0.25">
      <c r="A56">
        <v>55</v>
      </c>
      <c r="B56" t="s">
        <v>54</v>
      </c>
    </row>
    <row r="57" spans="1:9" x14ac:dyDescent="0.25">
      <c r="A57">
        <v>56</v>
      </c>
      <c r="B57" t="s">
        <v>55</v>
      </c>
    </row>
    <row r="58" spans="1:9" x14ac:dyDescent="0.25">
      <c r="A58">
        <v>57</v>
      </c>
      <c r="B58" t="s">
        <v>56</v>
      </c>
    </row>
    <row r="59" spans="1:9" x14ac:dyDescent="0.25">
      <c r="A59">
        <v>58</v>
      </c>
      <c r="B59" t="s">
        <v>57</v>
      </c>
    </row>
    <row r="60" spans="1:9" x14ac:dyDescent="0.25">
      <c r="A60">
        <v>59</v>
      </c>
      <c r="B60" t="s">
        <v>58</v>
      </c>
    </row>
    <row r="61" spans="1:9" x14ac:dyDescent="0.25">
      <c r="A61">
        <v>60</v>
      </c>
      <c r="B61" t="s">
        <v>59</v>
      </c>
    </row>
  </sheetData>
  <phoneticPr fontId="18" type="noConversion"/>
  <conditionalFormatting sqref="F2:F51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A661-52D8-45D9-824A-E6313569953C}">
  <dimension ref="A1:B51"/>
  <sheetViews>
    <sheetView workbookViewId="0">
      <selection activeCell="F8" sqref="F8"/>
    </sheetView>
  </sheetViews>
  <sheetFormatPr defaultRowHeight="15" x14ac:dyDescent="0.25"/>
  <sheetData>
    <row r="1" spans="1:2" x14ac:dyDescent="0.25">
      <c r="A1" t="s">
        <v>172</v>
      </c>
      <c r="B1" t="s">
        <v>173</v>
      </c>
    </row>
    <row r="2" spans="1:2" x14ac:dyDescent="0.25">
      <c r="A2">
        <v>1645258</v>
      </c>
      <c r="B2" t="s">
        <v>72</v>
      </c>
    </row>
    <row r="3" spans="1:2" x14ac:dyDescent="0.25">
      <c r="A3">
        <v>1645259</v>
      </c>
      <c r="B3" t="s">
        <v>74</v>
      </c>
    </row>
    <row r="4" spans="1:2" x14ac:dyDescent="0.25">
      <c r="A4">
        <v>1645260</v>
      </c>
      <c r="B4" t="s">
        <v>75</v>
      </c>
    </row>
    <row r="5" spans="1:2" x14ac:dyDescent="0.25">
      <c r="A5">
        <v>1645261</v>
      </c>
      <c r="B5" t="s">
        <v>73</v>
      </c>
    </row>
    <row r="6" spans="1:2" x14ac:dyDescent="0.25">
      <c r="A6">
        <v>1645262</v>
      </c>
      <c r="B6" t="s">
        <v>76</v>
      </c>
    </row>
    <row r="7" spans="1:2" x14ac:dyDescent="0.25">
      <c r="A7">
        <v>1645263</v>
      </c>
      <c r="B7" t="s">
        <v>77</v>
      </c>
    </row>
    <row r="8" spans="1:2" x14ac:dyDescent="0.25">
      <c r="A8">
        <v>1645264</v>
      </c>
      <c r="B8" t="s">
        <v>78</v>
      </c>
    </row>
    <row r="9" spans="1:2" x14ac:dyDescent="0.25">
      <c r="A9">
        <v>1645265</v>
      </c>
      <c r="B9" t="s">
        <v>79</v>
      </c>
    </row>
    <row r="10" spans="1:2" x14ac:dyDescent="0.25">
      <c r="A10">
        <v>1645266</v>
      </c>
      <c r="B10" t="s">
        <v>80</v>
      </c>
    </row>
    <row r="11" spans="1:2" x14ac:dyDescent="0.25">
      <c r="A11">
        <v>1645267</v>
      </c>
      <c r="B11" t="s">
        <v>83</v>
      </c>
    </row>
    <row r="12" spans="1:2" x14ac:dyDescent="0.25">
      <c r="A12">
        <v>1645268</v>
      </c>
      <c r="B12" t="s">
        <v>82</v>
      </c>
    </row>
    <row r="13" spans="1:2" x14ac:dyDescent="0.25">
      <c r="A13">
        <v>1645269</v>
      </c>
      <c r="B13" t="s">
        <v>81</v>
      </c>
    </row>
    <row r="14" spans="1:2" x14ac:dyDescent="0.25">
      <c r="A14">
        <v>1645270</v>
      </c>
      <c r="B14" t="s">
        <v>144</v>
      </c>
    </row>
    <row r="15" spans="1:2" x14ac:dyDescent="0.25">
      <c r="A15">
        <v>1645271</v>
      </c>
      <c r="B15" t="s">
        <v>84</v>
      </c>
    </row>
    <row r="16" spans="1:2" x14ac:dyDescent="0.25">
      <c r="A16">
        <v>1645272</v>
      </c>
      <c r="B16" t="s">
        <v>85</v>
      </c>
    </row>
    <row r="17" spans="1:2" x14ac:dyDescent="0.25">
      <c r="A17">
        <v>1645273</v>
      </c>
      <c r="B17" t="s">
        <v>86</v>
      </c>
    </row>
    <row r="18" spans="1:2" x14ac:dyDescent="0.25">
      <c r="A18">
        <v>1645274</v>
      </c>
      <c r="B18" t="s">
        <v>87</v>
      </c>
    </row>
    <row r="19" spans="1:2" x14ac:dyDescent="0.25">
      <c r="A19">
        <v>1645275</v>
      </c>
      <c r="B19" t="s">
        <v>100</v>
      </c>
    </row>
    <row r="20" spans="1:2" x14ac:dyDescent="0.25">
      <c r="A20">
        <v>1645276</v>
      </c>
      <c r="B20" t="s">
        <v>103</v>
      </c>
    </row>
    <row r="21" spans="1:2" x14ac:dyDescent="0.25">
      <c r="A21">
        <v>1645277</v>
      </c>
      <c r="B21" t="s">
        <v>102</v>
      </c>
    </row>
    <row r="22" spans="1:2" x14ac:dyDescent="0.25">
      <c r="A22">
        <v>1645278</v>
      </c>
      <c r="B22" t="s">
        <v>101</v>
      </c>
    </row>
    <row r="23" spans="1:2" x14ac:dyDescent="0.25">
      <c r="A23">
        <v>1645279</v>
      </c>
      <c r="B23" t="s">
        <v>106</v>
      </c>
    </row>
    <row r="24" spans="1:2" x14ac:dyDescent="0.25">
      <c r="A24">
        <v>1645280</v>
      </c>
      <c r="B24" t="s">
        <v>105</v>
      </c>
    </row>
    <row r="25" spans="1:2" x14ac:dyDescent="0.25">
      <c r="A25">
        <v>1645281</v>
      </c>
      <c r="B25" t="s">
        <v>104</v>
      </c>
    </row>
    <row r="26" spans="1:2" x14ac:dyDescent="0.25">
      <c r="A26">
        <v>1645282</v>
      </c>
      <c r="B26" t="s">
        <v>109</v>
      </c>
    </row>
    <row r="27" spans="1:2" x14ac:dyDescent="0.25">
      <c r="A27">
        <v>1645283</v>
      </c>
      <c r="B27" t="s">
        <v>108</v>
      </c>
    </row>
    <row r="28" spans="1:2" x14ac:dyDescent="0.25">
      <c r="A28">
        <v>1645284</v>
      </c>
      <c r="B28" t="s">
        <v>107</v>
      </c>
    </row>
    <row r="29" spans="1:2" x14ac:dyDescent="0.25">
      <c r="A29">
        <v>1645285</v>
      </c>
      <c r="B29" t="s">
        <v>110</v>
      </c>
    </row>
    <row r="30" spans="1:2" x14ac:dyDescent="0.25">
      <c r="A30">
        <v>1645286</v>
      </c>
      <c r="B30" t="s">
        <v>111</v>
      </c>
    </row>
    <row r="31" spans="1:2" x14ac:dyDescent="0.25">
      <c r="A31">
        <v>1645287</v>
      </c>
      <c r="B31" t="s">
        <v>112</v>
      </c>
    </row>
    <row r="32" spans="1:2" x14ac:dyDescent="0.25">
      <c r="A32">
        <v>1645288</v>
      </c>
      <c r="B32" t="s">
        <v>115</v>
      </c>
    </row>
    <row r="33" spans="1:2" x14ac:dyDescent="0.25">
      <c r="A33">
        <v>1645289</v>
      </c>
      <c r="B33" t="s">
        <v>114</v>
      </c>
    </row>
    <row r="34" spans="1:2" x14ac:dyDescent="0.25">
      <c r="A34">
        <v>1645290</v>
      </c>
      <c r="B34" t="s">
        <v>113</v>
      </c>
    </row>
    <row r="35" spans="1:2" x14ac:dyDescent="0.25">
      <c r="A35">
        <v>1645291</v>
      </c>
      <c r="B35" t="s">
        <v>118</v>
      </c>
    </row>
    <row r="36" spans="1:2" x14ac:dyDescent="0.25">
      <c r="A36">
        <v>1645292</v>
      </c>
      <c r="B36" t="s">
        <v>117</v>
      </c>
    </row>
    <row r="37" spans="1:2" x14ac:dyDescent="0.25">
      <c r="A37">
        <v>1645293</v>
      </c>
      <c r="B37" t="s">
        <v>116</v>
      </c>
    </row>
    <row r="38" spans="1:2" x14ac:dyDescent="0.25">
      <c r="A38">
        <v>1645294</v>
      </c>
      <c r="B38" t="s">
        <v>160</v>
      </c>
    </row>
    <row r="39" spans="1:2" x14ac:dyDescent="0.25">
      <c r="A39">
        <v>1645295</v>
      </c>
      <c r="B39" t="s">
        <v>157</v>
      </c>
    </row>
    <row r="40" spans="1:2" x14ac:dyDescent="0.25">
      <c r="A40">
        <v>1645296</v>
      </c>
      <c r="B40" t="s">
        <v>159</v>
      </c>
    </row>
    <row r="41" spans="1:2" x14ac:dyDescent="0.25">
      <c r="A41">
        <v>1645297</v>
      </c>
      <c r="B41" t="s">
        <v>161</v>
      </c>
    </row>
    <row r="42" spans="1:2" x14ac:dyDescent="0.25">
      <c r="A42">
        <v>1645298</v>
      </c>
      <c r="B42" t="s">
        <v>162</v>
      </c>
    </row>
    <row r="43" spans="1:2" x14ac:dyDescent="0.25">
      <c r="A43">
        <v>1645299</v>
      </c>
      <c r="B43" t="s">
        <v>158</v>
      </c>
    </row>
    <row r="44" spans="1:2" x14ac:dyDescent="0.25">
      <c r="A44">
        <v>1638355</v>
      </c>
      <c r="B44" t="s">
        <v>65</v>
      </c>
    </row>
    <row r="45" spans="1:2" x14ac:dyDescent="0.25">
      <c r="A45">
        <v>1638356</v>
      </c>
      <c r="B45" t="s">
        <v>67</v>
      </c>
    </row>
    <row r="46" spans="1:2" x14ac:dyDescent="0.25">
      <c r="A46">
        <v>1638357</v>
      </c>
      <c r="B46" t="s">
        <v>68</v>
      </c>
    </row>
    <row r="47" spans="1:2" x14ac:dyDescent="0.25">
      <c r="A47">
        <v>1638358</v>
      </c>
      <c r="B47" t="s">
        <v>70</v>
      </c>
    </row>
    <row r="48" spans="1:2" x14ac:dyDescent="0.25">
      <c r="A48">
        <v>1638359</v>
      </c>
      <c r="B48" t="s">
        <v>69</v>
      </c>
    </row>
    <row r="49" spans="1:2" x14ac:dyDescent="0.25">
      <c r="A49">
        <v>1638360</v>
      </c>
      <c r="B49" t="s">
        <v>71</v>
      </c>
    </row>
    <row r="50" spans="1:2" x14ac:dyDescent="0.25">
      <c r="A50">
        <v>1638361</v>
      </c>
      <c r="B50" t="s">
        <v>64</v>
      </c>
    </row>
    <row r="51" spans="1:2" x14ac:dyDescent="0.25">
      <c r="A51">
        <v>1638362</v>
      </c>
      <c r="B5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9965-3A02-44AF-9BF4-86BFA009B4F7}">
  <dimension ref="A1:Y38"/>
  <sheetViews>
    <sheetView workbookViewId="0">
      <selection activeCell="C1" sqref="C1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10" bestFit="1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8.710937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1</v>
      </c>
      <c r="B2" t="s">
        <v>97</v>
      </c>
      <c r="C2">
        <v>1</v>
      </c>
      <c r="D2">
        <v>201133</v>
      </c>
      <c r="E2">
        <v>1</v>
      </c>
      <c r="F2" s="5">
        <v>138</v>
      </c>
      <c r="G2" s="6">
        <v>158</v>
      </c>
      <c r="H2" s="5">
        <v>102</v>
      </c>
      <c r="I2" s="5">
        <v>33.700000000000003</v>
      </c>
      <c r="J2" s="7">
        <v>61</v>
      </c>
      <c r="K2" t="s">
        <v>132</v>
      </c>
      <c r="N2" t="str">
        <f>_xlfn.XLOOKUP(C2, Sheet1!A:A, Sheet1!B:B, "")</f>
        <v>3DD.003E185F8C</v>
      </c>
      <c r="O2" t="str">
        <f>_xlfn.XLOOKUP(D2, Sheet1!F:F, Sheet1!E:E, "")</f>
        <v>A69-2801-201133</v>
      </c>
      <c r="P2">
        <f>IF(OR(I2="",H2=""),"",I2/H2)</f>
        <v>0.33039215686274515</v>
      </c>
      <c r="Q2" t="str">
        <f>IF(P2="", "UKN", IF(P2&lt;0.55, "AST", IF(P2&gt;0.62, "SNS", "UKN")))</f>
        <v>AST</v>
      </c>
      <c r="R2" t="s">
        <v>136</v>
      </c>
      <c r="T2" s="1">
        <v>45867</v>
      </c>
      <c r="U2" t="s">
        <v>124</v>
      </c>
      <c r="V2" t="s">
        <v>125</v>
      </c>
      <c r="W2">
        <v>438716</v>
      </c>
      <c r="X2">
        <v>4899033</v>
      </c>
    </row>
    <row r="3" spans="1:25" x14ac:dyDescent="0.25">
      <c r="A3">
        <v>2</v>
      </c>
      <c r="B3" t="s">
        <v>97</v>
      </c>
      <c r="C3">
        <v>2</v>
      </c>
      <c r="D3">
        <v>201127</v>
      </c>
      <c r="E3">
        <v>2</v>
      </c>
      <c r="F3" s="2">
        <v>156</v>
      </c>
      <c r="G3">
        <v>179</v>
      </c>
      <c r="H3" s="2">
        <v>138</v>
      </c>
      <c r="I3" s="2">
        <v>61</v>
      </c>
      <c r="J3" s="3">
        <v>101</v>
      </c>
      <c r="K3" t="s">
        <v>132</v>
      </c>
      <c r="N3" t="str">
        <f>_xlfn.XLOOKUP(C3, Sheet1!A:A, Sheet1!B:B, "")</f>
        <v>3DD.003E185F8D</v>
      </c>
      <c r="O3" t="str">
        <f>_xlfn.XLOOKUP(D3, Sheet1!F:F, Sheet1!E:E, "")</f>
        <v>A69-2801-201127</v>
      </c>
      <c r="P3">
        <f t="shared" ref="P3:P11" si="0">IF(OR(I3="",H3=""),"",I3/H3)</f>
        <v>0.4420289855072464</v>
      </c>
      <c r="Q3" t="str">
        <f t="shared" ref="Q3:Q11" si="1">IF(P3="", "UKN", IF(P3&lt;0.55, "AST", IF(P3&gt;0.62, "SNS", "UKN")))</f>
        <v>AST</v>
      </c>
      <c r="R3" t="s">
        <v>136</v>
      </c>
    </row>
    <row r="4" spans="1:25" x14ac:dyDescent="0.25">
      <c r="A4">
        <v>3</v>
      </c>
      <c r="B4" t="s">
        <v>97</v>
      </c>
      <c r="C4">
        <v>3</v>
      </c>
      <c r="D4">
        <v>201134</v>
      </c>
      <c r="E4">
        <v>3</v>
      </c>
      <c r="F4" s="2">
        <v>116</v>
      </c>
      <c r="G4">
        <v>179</v>
      </c>
      <c r="H4" s="2">
        <v>138</v>
      </c>
      <c r="I4" s="2">
        <v>41.6</v>
      </c>
      <c r="J4" s="3">
        <v>71.3</v>
      </c>
      <c r="K4" t="s">
        <v>132</v>
      </c>
      <c r="N4" t="str">
        <f>_xlfn.XLOOKUP(C4, Sheet1!A:A, Sheet1!B:B, "")</f>
        <v>3DD.003E185F93</v>
      </c>
      <c r="O4" t="str">
        <f>_xlfn.XLOOKUP(D4, Sheet1!F:F, Sheet1!E:E, "")</f>
        <v>A69-2801-201134</v>
      </c>
      <c r="P4">
        <f t="shared" si="0"/>
        <v>0.30144927536231886</v>
      </c>
      <c r="Q4" t="str">
        <f t="shared" si="1"/>
        <v>AST</v>
      </c>
      <c r="R4" t="s">
        <v>136</v>
      </c>
    </row>
    <row r="5" spans="1:25" x14ac:dyDescent="0.25">
      <c r="A5">
        <v>4</v>
      </c>
      <c r="B5" t="s">
        <v>97</v>
      </c>
      <c r="C5">
        <v>4</v>
      </c>
      <c r="D5">
        <v>201128</v>
      </c>
      <c r="E5">
        <v>4</v>
      </c>
      <c r="F5" s="2">
        <v>174.2</v>
      </c>
      <c r="G5">
        <v>194.7</v>
      </c>
      <c r="H5" s="4"/>
      <c r="I5" s="2">
        <v>53</v>
      </c>
      <c r="J5" s="3">
        <v>87</v>
      </c>
      <c r="K5" t="s">
        <v>132</v>
      </c>
      <c r="N5" t="str">
        <f>_xlfn.XLOOKUP(C5, Sheet1!A:A, Sheet1!B:B, "")</f>
        <v>3DD.003E185F8F</v>
      </c>
      <c r="O5" t="str">
        <f>_xlfn.XLOOKUP(D5, Sheet1!F:F, Sheet1!E:E, "")</f>
        <v>A69-2801-201128</v>
      </c>
      <c r="P5" t="str">
        <f t="shared" si="0"/>
        <v/>
      </c>
      <c r="Q5" t="str">
        <f t="shared" si="1"/>
        <v>UKN</v>
      </c>
      <c r="R5" t="s">
        <v>136</v>
      </c>
    </row>
    <row r="6" spans="1:25" x14ac:dyDescent="0.25">
      <c r="A6">
        <v>5</v>
      </c>
      <c r="B6" t="s">
        <v>97</v>
      </c>
      <c r="C6" t="s">
        <v>134</v>
      </c>
      <c r="D6">
        <v>201228</v>
      </c>
      <c r="E6">
        <v>5</v>
      </c>
      <c r="F6" s="2">
        <v>197</v>
      </c>
      <c r="G6">
        <v>225</v>
      </c>
      <c r="H6" s="4"/>
      <c r="I6" s="2">
        <v>74.5</v>
      </c>
      <c r="J6" s="3">
        <v>102.6</v>
      </c>
      <c r="K6" t="s">
        <v>131</v>
      </c>
      <c r="L6" t="s">
        <v>151</v>
      </c>
      <c r="N6" t="s">
        <v>130</v>
      </c>
      <c r="O6" t="str">
        <f>_xlfn.XLOOKUP(D6, Sheet1!F:F, Sheet1!E:E, "")</f>
        <v>A69-2801-201228</v>
      </c>
      <c r="P6" t="str">
        <f t="shared" si="0"/>
        <v/>
      </c>
      <c r="Q6" t="str">
        <f t="shared" si="1"/>
        <v>UKN</v>
      </c>
      <c r="R6" t="s">
        <v>136</v>
      </c>
    </row>
    <row r="7" spans="1:25" x14ac:dyDescent="0.25">
      <c r="A7">
        <v>6</v>
      </c>
      <c r="B7" t="s">
        <v>97</v>
      </c>
      <c r="C7">
        <v>6</v>
      </c>
      <c r="D7">
        <v>201131</v>
      </c>
      <c r="E7">
        <v>6</v>
      </c>
      <c r="F7" s="2">
        <v>156.30000000000001</v>
      </c>
      <c r="G7">
        <v>177.9</v>
      </c>
      <c r="H7" s="2">
        <v>127.37</v>
      </c>
      <c r="I7" s="2">
        <v>56.91</v>
      </c>
      <c r="J7" s="3">
        <v>89.37</v>
      </c>
      <c r="K7" t="s">
        <v>132</v>
      </c>
      <c r="L7" t="s">
        <v>133</v>
      </c>
      <c r="N7" t="str">
        <f>_xlfn.XLOOKUP(C7, Sheet1!A:A, Sheet1!B:B, "")</f>
        <v>3DD.003E185F77</v>
      </c>
      <c r="O7" t="str">
        <f>_xlfn.XLOOKUP(D7, Sheet1!F:F, Sheet1!E:E, "")</f>
        <v>A69-2801-201131</v>
      </c>
      <c r="P7">
        <f t="shared" si="0"/>
        <v>0.44680851063829785</v>
      </c>
      <c r="Q7" t="str">
        <f t="shared" si="1"/>
        <v>AST</v>
      </c>
      <c r="R7" t="s">
        <v>136</v>
      </c>
    </row>
    <row r="8" spans="1:25" x14ac:dyDescent="0.25">
      <c r="A8">
        <v>7</v>
      </c>
      <c r="B8" t="s">
        <v>97</v>
      </c>
      <c r="C8">
        <v>7</v>
      </c>
      <c r="D8">
        <v>201130</v>
      </c>
      <c r="E8">
        <v>7</v>
      </c>
      <c r="F8" s="2">
        <v>134</v>
      </c>
      <c r="G8">
        <v>149.5</v>
      </c>
      <c r="H8" s="9">
        <v>110.5</v>
      </c>
      <c r="I8" s="2">
        <v>48.8</v>
      </c>
      <c r="J8" s="3">
        <v>75.099999999999994</v>
      </c>
      <c r="K8" t="s">
        <v>132</v>
      </c>
      <c r="N8" t="str">
        <f>_xlfn.XLOOKUP(C8, Sheet1!A:A, Sheet1!B:B, "")</f>
        <v>3DD.003E185F76</v>
      </c>
      <c r="O8" t="str">
        <f>_xlfn.XLOOKUP(D8, Sheet1!F:F, Sheet1!E:E, "")</f>
        <v>A69-2801-201130</v>
      </c>
      <c r="P8">
        <f t="shared" si="0"/>
        <v>0.44162895927601808</v>
      </c>
      <c r="Q8" t="str">
        <f t="shared" si="1"/>
        <v>AST</v>
      </c>
      <c r="R8" t="s">
        <v>136</v>
      </c>
    </row>
    <row r="9" spans="1:25" x14ac:dyDescent="0.25">
      <c r="A9">
        <v>8</v>
      </c>
      <c r="B9" t="s">
        <v>97</v>
      </c>
      <c r="C9">
        <v>8</v>
      </c>
      <c r="D9">
        <v>201132</v>
      </c>
      <c r="E9">
        <v>8</v>
      </c>
      <c r="F9" s="2">
        <v>149.30000000000001</v>
      </c>
      <c r="G9">
        <v>173.1</v>
      </c>
      <c r="H9" s="2">
        <v>127.6</v>
      </c>
      <c r="I9" s="2">
        <v>46.98</v>
      </c>
      <c r="J9" s="3">
        <v>71.95</v>
      </c>
      <c r="K9" t="s">
        <v>132</v>
      </c>
      <c r="N9" t="str">
        <f>_xlfn.XLOOKUP(C9, Sheet1!A:A, Sheet1!B:B, "")</f>
        <v>3DD.003E185F92</v>
      </c>
      <c r="O9" t="str">
        <f>_xlfn.XLOOKUP(D9, Sheet1!F:F, Sheet1!E:E, "")</f>
        <v>A69-2801-201132</v>
      </c>
      <c r="P9">
        <f t="shared" si="0"/>
        <v>0.36818181818181817</v>
      </c>
      <c r="Q9" t="str">
        <f t="shared" si="1"/>
        <v>AST</v>
      </c>
      <c r="R9" t="s">
        <v>136</v>
      </c>
    </row>
    <row r="10" spans="1:25" x14ac:dyDescent="0.25">
      <c r="A10">
        <v>9</v>
      </c>
      <c r="B10" t="s">
        <v>97</v>
      </c>
      <c r="C10">
        <v>9</v>
      </c>
      <c r="D10">
        <v>201212</v>
      </c>
      <c r="E10">
        <v>9</v>
      </c>
      <c r="F10" s="2">
        <v>147</v>
      </c>
      <c r="G10">
        <v>170</v>
      </c>
      <c r="H10" s="2">
        <v>117.37</v>
      </c>
      <c r="I10" s="2">
        <v>50.15</v>
      </c>
      <c r="J10" s="3">
        <v>71.64</v>
      </c>
      <c r="K10" t="s">
        <v>132</v>
      </c>
      <c r="L10" t="s">
        <v>137</v>
      </c>
      <c r="N10" t="str">
        <f>_xlfn.XLOOKUP(C10, Sheet1!A:A, Sheet1!B:B, "")</f>
        <v>3DD.003E185F95</v>
      </c>
      <c r="O10" t="str">
        <f>_xlfn.XLOOKUP(D10, Sheet1!F:F, Sheet1!E:E, "")</f>
        <v>A69-2801-201212</v>
      </c>
      <c r="P10">
        <f t="shared" si="0"/>
        <v>0.42728124733747974</v>
      </c>
      <c r="Q10" t="str">
        <f t="shared" si="1"/>
        <v>AST</v>
      </c>
      <c r="R10" t="s">
        <v>138</v>
      </c>
    </row>
    <row r="11" spans="1:25" x14ac:dyDescent="0.25">
      <c r="A11">
        <v>10</v>
      </c>
      <c r="B11" t="s">
        <v>97</v>
      </c>
      <c r="C11">
        <v>10</v>
      </c>
      <c r="D11">
        <v>201215</v>
      </c>
      <c r="E11">
        <v>10</v>
      </c>
      <c r="F11" s="2">
        <v>143.4</v>
      </c>
      <c r="G11">
        <v>166</v>
      </c>
      <c r="H11" s="2">
        <v>117.2</v>
      </c>
      <c r="I11" s="2">
        <v>55.6</v>
      </c>
      <c r="J11" s="3">
        <v>71.2</v>
      </c>
      <c r="K11" t="s">
        <v>132</v>
      </c>
      <c r="L11" t="s">
        <v>137</v>
      </c>
      <c r="N11" t="str">
        <f>_xlfn.XLOOKUP(C11, Sheet1!A:A, Sheet1!B:B, "")</f>
        <v>3DD.003E185F86</v>
      </c>
      <c r="O11" t="str">
        <f>_xlfn.XLOOKUP(D11, Sheet1!F:F, Sheet1!E:E, "")</f>
        <v>A69-2801-201215</v>
      </c>
      <c r="P11">
        <f t="shared" si="0"/>
        <v>0.47440273037542663</v>
      </c>
      <c r="Q11" t="str">
        <f t="shared" si="1"/>
        <v>AST</v>
      </c>
      <c r="R11" t="s">
        <v>138</v>
      </c>
    </row>
    <row r="12" spans="1:25" x14ac:dyDescent="0.25">
      <c r="F12" s="2"/>
      <c r="H12" s="2"/>
      <c r="I12" s="2"/>
      <c r="J12" s="3"/>
    </row>
    <row r="13" spans="1:25" x14ac:dyDescent="0.25">
      <c r="F13" s="2"/>
      <c r="H13" s="2"/>
      <c r="I13" s="2"/>
      <c r="J13" s="3"/>
    </row>
    <row r="14" spans="1:25" x14ac:dyDescent="0.25">
      <c r="F14" s="2"/>
      <c r="H14" s="2"/>
      <c r="I14" s="2"/>
      <c r="J14" s="3"/>
    </row>
    <row r="15" spans="1:25" x14ac:dyDescent="0.25">
      <c r="F15" s="2"/>
      <c r="H15" s="2"/>
      <c r="I15" s="2"/>
      <c r="J15" s="3"/>
    </row>
    <row r="16" spans="1:25" x14ac:dyDescent="0.25">
      <c r="F16" s="2"/>
      <c r="H16" s="2"/>
      <c r="I16" s="2"/>
      <c r="J16" s="3"/>
    </row>
    <row r="17" spans="6:10" x14ac:dyDescent="0.25">
      <c r="F17" s="2"/>
      <c r="H17" s="2"/>
      <c r="I17" s="2"/>
      <c r="J17" s="3"/>
    </row>
    <row r="18" spans="6:10" x14ac:dyDescent="0.25">
      <c r="F18" s="2"/>
      <c r="H18" s="2"/>
      <c r="I18" s="2"/>
      <c r="J18" s="3"/>
    </row>
    <row r="19" spans="6:10" x14ac:dyDescent="0.25">
      <c r="F19" s="2"/>
      <c r="H19" s="2"/>
      <c r="I19" s="2"/>
      <c r="J19" s="3"/>
    </row>
    <row r="20" spans="6:10" x14ac:dyDescent="0.25">
      <c r="F20" s="2"/>
      <c r="H20" s="2"/>
      <c r="I20" s="2"/>
      <c r="J20" s="3"/>
    </row>
    <row r="21" spans="6:10" x14ac:dyDescent="0.25">
      <c r="F21" s="2"/>
      <c r="H21" s="2"/>
      <c r="I21" s="2"/>
      <c r="J21" s="3"/>
    </row>
    <row r="22" spans="6:10" x14ac:dyDescent="0.25">
      <c r="F22" s="2"/>
      <c r="H22" s="2"/>
      <c r="I22" s="2"/>
      <c r="J22" s="3"/>
    </row>
    <row r="23" spans="6:10" x14ac:dyDescent="0.25">
      <c r="F23" s="2"/>
      <c r="H23" s="2"/>
      <c r="I23" s="2"/>
      <c r="J23" s="3"/>
    </row>
    <row r="24" spans="6:10" x14ac:dyDescent="0.25">
      <c r="F24" s="2"/>
      <c r="H24" s="2"/>
      <c r="I24" s="2"/>
      <c r="J24" s="3"/>
    </row>
    <row r="25" spans="6:10" x14ac:dyDescent="0.25">
      <c r="F25" s="2"/>
      <c r="H25" s="2"/>
      <c r="I25" s="2"/>
      <c r="J25" s="3"/>
    </row>
    <row r="26" spans="6:10" x14ac:dyDescent="0.25">
      <c r="F26" s="2"/>
      <c r="H26" s="2"/>
      <c r="I26" s="2"/>
      <c r="J26" s="3"/>
    </row>
    <row r="27" spans="6:10" x14ac:dyDescent="0.25">
      <c r="F27" s="2"/>
      <c r="H27" s="2"/>
      <c r="I27" s="2"/>
      <c r="J27" s="3"/>
    </row>
    <row r="28" spans="6:10" x14ac:dyDescent="0.25">
      <c r="F28" s="2"/>
      <c r="H28" s="2"/>
      <c r="I28" s="2"/>
      <c r="J28" s="3"/>
    </row>
    <row r="29" spans="6:10" x14ac:dyDescent="0.25">
      <c r="F29" s="2"/>
      <c r="H29" s="2"/>
      <c r="I29" s="2"/>
      <c r="J29" s="3"/>
    </row>
    <row r="30" spans="6:10" x14ac:dyDescent="0.25">
      <c r="F30" s="2"/>
      <c r="H30" s="2"/>
      <c r="I30" s="2"/>
      <c r="J30" s="3"/>
    </row>
    <row r="31" spans="6:10" x14ac:dyDescent="0.25">
      <c r="F31" s="2"/>
      <c r="H31" s="2"/>
      <c r="I31" s="2"/>
      <c r="J31" s="3"/>
    </row>
    <row r="32" spans="6:10" x14ac:dyDescent="0.25">
      <c r="F32" s="2"/>
      <c r="H32" s="2"/>
      <c r="I32" s="2"/>
      <c r="J32" s="3"/>
    </row>
    <row r="33" spans="6:10" x14ac:dyDescent="0.25">
      <c r="F33" s="2"/>
      <c r="H33" s="2"/>
      <c r="I33" s="2"/>
      <c r="J33" s="3"/>
    </row>
    <row r="34" spans="6:10" x14ac:dyDescent="0.25">
      <c r="F34" s="2"/>
      <c r="H34" s="2"/>
      <c r="I34" s="2"/>
      <c r="J34" s="3"/>
    </row>
    <row r="35" spans="6:10" x14ac:dyDescent="0.25">
      <c r="F35" s="2"/>
      <c r="H35" s="2"/>
      <c r="I35" s="2"/>
      <c r="J35" s="3"/>
    </row>
    <row r="36" spans="6:10" x14ac:dyDescent="0.25">
      <c r="F36" s="2"/>
      <c r="H36" s="2"/>
      <c r="I36" s="2"/>
      <c r="J36" s="3"/>
    </row>
    <row r="37" spans="6:10" x14ac:dyDescent="0.25">
      <c r="F37" s="2"/>
      <c r="H37" s="2"/>
      <c r="I37" s="2"/>
      <c r="J37" s="3"/>
    </row>
    <row r="38" spans="6:10" x14ac:dyDescent="0.25">
      <c r="F38" s="2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4C17-C0AD-48BE-80DF-6BA497415298}">
  <dimension ref="A1:Y38"/>
  <sheetViews>
    <sheetView workbookViewId="0">
      <selection activeCell="O19" sqref="O19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6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9.425781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11</v>
      </c>
      <c r="B2" t="s">
        <v>140</v>
      </c>
      <c r="C2">
        <v>11</v>
      </c>
      <c r="D2">
        <v>201219</v>
      </c>
      <c r="E2">
        <v>11</v>
      </c>
      <c r="F2" s="5">
        <v>73.099999999999994</v>
      </c>
      <c r="G2" s="6">
        <v>88.2</v>
      </c>
      <c r="H2" s="5">
        <v>54</v>
      </c>
      <c r="I2" s="5">
        <v>36</v>
      </c>
      <c r="J2" s="7">
        <v>41</v>
      </c>
      <c r="K2" t="s">
        <v>132</v>
      </c>
      <c r="N2" t="str">
        <f>_xlfn.XLOOKUP(C2, Sheet1!A:A, Sheet1!B:B, "")</f>
        <v>3DD.003E185F7F</v>
      </c>
      <c r="O2" t="str">
        <f>IF(D2="", "", _xlfn.XLOOKUP(D2, Sheet1!F:F, Sheet1!E:E, ""))</f>
        <v>A69-2801-201219</v>
      </c>
      <c r="P2">
        <f>IF(OR(I2="",H2=""),"",I2/H2)</f>
        <v>0.66666666666666663</v>
      </c>
      <c r="Q2" t="str">
        <f>IF(P2="", "UKN", IF(P2&lt;0.55, "AST", IF(P2&gt;0.62, "SNS", "UKN")))</f>
        <v>SNS</v>
      </c>
      <c r="R2" t="s">
        <v>136</v>
      </c>
      <c r="T2" s="1">
        <v>45873</v>
      </c>
      <c r="U2" t="s">
        <v>124</v>
      </c>
      <c r="V2" t="s">
        <v>139</v>
      </c>
      <c r="W2">
        <v>437291</v>
      </c>
      <c r="X2">
        <v>4902372</v>
      </c>
    </row>
    <row r="3" spans="1:25" x14ac:dyDescent="0.25">
      <c r="A3">
        <v>12</v>
      </c>
      <c r="B3" t="s">
        <v>140</v>
      </c>
      <c r="C3">
        <v>12</v>
      </c>
      <c r="D3">
        <v>201218</v>
      </c>
      <c r="E3">
        <v>12</v>
      </c>
      <c r="F3" s="2">
        <v>68.900000000000006</v>
      </c>
      <c r="G3">
        <v>82.8</v>
      </c>
      <c r="H3" s="8">
        <v>57</v>
      </c>
      <c r="I3" s="2">
        <v>38</v>
      </c>
      <c r="J3" s="3">
        <v>46</v>
      </c>
      <c r="K3" t="s">
        <v>132</v>
      </c>
      <c r="N3" t="str">
        <f>_xlfn.XLOOKUP(C3, Sheet1!A:A, Sheet1!B:B, "")</f>
        <v>3DD.003E185F94</v>
      </c>
      <c r="O3" t="str">
        <f>IF(D3="", "", _xlfn.XLOOKUP(D3, Sheet1!F:F, Sheet1!E:E, ""))</f>
        <v>A69-2801-201218</v>
      </c>
      <c r="P3">
        <f t="shared" ref="P3:P15" si="0">IF(OR(I3="",H3=""),"",I3/H3)</f>
        <v>0.66666666666666663</v>
      </c>
      <c r="Q3" t="str">
        <f t="shared" ref="Q3:Q15" si="1">IF(P3="", "UKN", IF(P3&lt;0.55, "AST", IF(P3&gt;0.62, "SNS", "UKN")))</f>
        <v>SNS</v>
      </c>
      <c r="R3" t="s">
        <v>136</v>
      </c>
    </row>
    <row r="4" spans="1:25" x14ac:dyDescent="0.25">
      <c r="A4">
        <v>13</v>
      </c>
      <c r="B4" t="s">
        <v>140</v>
      </c>
      <c r="C4">
        <v>13</v>
      </c>
      <c r="D4">
        <v>201216</v>
      </c>
      <c r="E4">
        <v>13</v>
      </c>
      <c r="F4" s="2">
        <v>65.599999999999994</v>
      </c>
      <c r="G4">
        <v>76.599999999999994</v>
      </c>
      <c r="H4" s="8">
        <v>51</v>
      </c>
      <c r="I4" s="2">
        <v>40</v>
      </c>
      <c r="J4" s="3">
        <v>47</v>
      </c>
      <c r="K4" t="s">
        <v>132</v>
      </c>
      <c r="N4" t="str">
        <f>_xlfn.XLOOKUP(C4, Sheet1!A:A, Sheet1!B:B, "")</f>
        <v>3DD.003E185F74</v>
      </c>
      <c r="O4" t="str">
        <f>IF(D4="", "", _xlfn.XLOOKUP(D4, Sheet1!F:F, Sheet1!E:E, ""))</f>
        <v>A69-2801-201216</v>
      </c>
      <c r="P4">
        <f t="shared" si="0"/>
        <v>0.78431372549019607</v>
      </c>
      <c r="Q4" t="str">
        <f t="shared" si="1"/>
        <v>SNS</v>
      </c>
      <c r="R4" t="s">
        <v>136</v>
      </c>
    </row>
    <row r="5" spans="1:25" x14ac:dyDescent="0.25">
      <c r="A5">
        <v>14</v>
      </c>
      <c r="B5" t="s">
        <v>140</v>
      </c>
      <c r="C5">
        <v>14</v>
      </c>
      <c r="D5">
        <v>201221</v>
      </c>
      <c r="E5">
        <v>14</v>
      </c>
      <c r="F5" s="2">
        <v>75.8</v>
      </c>
      <c r="G5">
        <v>86.2</v>
      </c>
      <c r="H5" s="8">
        <v>59</v>
      </c>
      <c r="I5" s="2">
        <v>46</v>
      </c>
      <c r="J5" s="3">
        <v>54</v>
      </c>
      <c r="K5" t="s">
        <v>132</v>
      </c>
      <c r="L5" t="s">
        <v>167</v>
      </c>
      <c r="N5" t="str">
        <f>_xlfn.XLOOKUP(C5, Sheet1!A:A, Sheet1!B:B, "")</f>
        <v>3DD.003E185F91</v>
      </c>
      <c r="O5" t="str">
        <f>IF(D5="", "", _xlfn.XLOOKUP(D5, Sheet1!F:F, Sheet1!E:E, ""))</f>
        <v>A69-2801-201221</v>
      </c>
      <c r="P5">
        <f t="shared" si="0"/>
        <v>0.77966101694915257</v>
      </c>
      <c r="Q5" t="str">
        <f t="shared" si="1"/>
        <v>SNS</v>
      </c>
      <c r="R5" t="s">
        <v>136</v>
      </c>
    </row>
    <row r="6" spans="1:25" x14ac:dyDescent="0.25">
      <c r="A6">
        <v>15</v>
      </c>
      <c r="B6" t="s">
        <v>140</v>
      </c>
      <c r="C6">
        <v>15</v>
      </c>
      <c r="D6">
        <v>201220</v>
      </c>
      <c r="E6">
        <v>15</v>
      </c>
      <c r="F6" s="2">
        <v>65.2</v>
      </c>
      <c r="G6">
        <v>77.099999999999994</v>
      </c>
      <c r="H6" s="8">
        <v>50</v>
      </c>
      <c r="I6" s="2">
        <v>36</v>
      </c>
      <c r="J6" s="3">
        <v>43</v>
      </c>
      <c r="K6" t="s">
        <v>132</v>
      </c>
      <c r="L6" t="s">
        <v>142</v>
      </c>
      <c r="N6" t="str">
        <f>_xlfn.XLOOKUP(C6, Sheet1!A:A, Sheet1!B:B, "")</f>
        <v>3DD.003E185F90</v>
      </c>
      <c r="O6" t="str">
        <f>IF(D6="", "", _xlfn.XLOOKUP(D6, Sheet1!F:F, Sheet1!E:E, ""))</f>
        <v>A69-2801-201220</v>
      </c>
      <c r="P6">
        <f t="shared" si="0"/>
        <v>0.72</v>
      </c>
      <c r="Q6" t="str">
        <f t="shared" si="1"/>
        <v>SNS</v>
      </c>
      <c r="R6" t="s">
        <v>136</v>
      </c>
    </row>
    <row r="7" spans="1:25" x14ac:dyDescent="0.25">
      <c r="A7">
        <v>16</v>
      </c>
      <c r="B7" t="s">
        <v>140</v>
      </c>
      <c r="C7">
        <v>16</v>
      </c>
      <c r="D7">
        <v>201129</v>
      </c>
      <c r="E7">
        <v>16</v>
      </c>
      <c r="F7" s="2">
        <v>74</v>
      </c>
      <c r="G7">
        <v>84.8</v>
      </c>
      <c r="H7" s="8">
        <v>57</v>
      </c>
      <c r="I7" s="2">
        <v>44</v>
      </c>
      <c r="J7" s="3">
        <v>55</v>
      </c>
      <c r="K7" t="s">
        <v>132</v>
      </c>
      <c r="L7" t="s">
        <v>143</v>
      </c>
      <c r="N7" t="str">
        <f>_xlfn.XLOOKUP(C7, Sheet1!A:A, Sheet1!B:B, "")</f>
        <v>3DD.003E185F78</v>
      </c>
      <c r="O7" t="str">
        <f>IF(D7="", "", _xlfn.XLOOKUP(D7, Sheet1!F:F, Sheet1!E:E, ""))</f>
        <v>A69-2801-201129</v>
      </c>
      <c r="P7">
        <f t="shared" si="0"/>
        <v>0.77192982456140347</v>
      </c>
      <c r="Q7" t="str">
        <f t="shared" si="1"/>
        <v>SNS</v>
      </c>
      <c r="R7" t="s">
        <v>136</v>
      </c>
    </row>
    <row r="8" spans="1:25" x14ac:dyDescent="0.25">
      <c r="A8">
        <v>17</v>
      </c>
      <c r="B8" t="s">
        <v>140</v>
      </c>
      <c r="C8">
        <v>17</v>
      </c>
      <c r="D8">
        <v>201223</v>
      </c>
      <c r="E8">
        <v>17</v>
      </c>
      <c r="F8" s="2">
        <v>65.8</v>
      </c>
      <c r="G8">
        <v>76.8</v>
      </c>
      <c r="H8" s="9">
        <v>49</v>
      </c>
      <c r="I8" s="2">
        <v>37</v>
      </c>
      <c r="J8" s="3">
        <v>46</v>
      </c>
      <c r="K8" t="s">
        <v>132</v>
      </c>
      <c r="N8" t="str">
        <f>_xlfn.XLOOKUP(C8, Sheet1!A:A, Sheet1!B:B, "")</f>
        <v>3DD.003E185F87</v>
      </c>
      <c r="O8" t="str">
        <f>IF(D8="", "", _xlfn.XLOOKUP(D8, Sheet1!F:F, Sheet1!E:E, ""))</f>
        <v>A69-2801-201223</v>
      </c>
      <c r="P8">
        <f t="shared" si="0"/>
        <v>0.75510204081632648</v>
      </c>
      <c r="Q8" t="str">
        <f t="shared" si="1"/>
        <v>SNS</v>
      </c>
      <c r="R8" t="s">
        <v>136</v>
      </c>
    </row>
    <row r="9" spans="1:25" x14ac:dyDescent="0.25">
      <c r="A9">
        <v>18</v>
      </c>
      <c r="B9" t="s">
        <v>140</v>
      </c>
      <c r="C9">
        <v>18</v>
      </c>
      <c r="D9">
        <v>201222</v>
      </c>
      <c r="E9">
        <v>18</v>
      </c>
      <c r="F9" s="2">
        <v>70.599999999999994</v>
      </c>
      <c r="G9">
        <v>82.6</v>
      </c>
      <c r="H9" s="2">
        <v>52</v>
      </c>
      <c r="I9" s="2">
        <v>44</v>
      </c>
      <c r="J9" s="3">
        <v>51</v>
      </c>
      <c r="K9" t="s">
        <v>132</v>
      </c>
      <c r="N9" t="str">
        <f>_xlfn.XLOOKUP(C9, Sheet1!A:A, Sheet1!B:B, "")</f>
        <v>3DD.003E185F6C</v>
      </c>
      <c r="O9" t="str">
        <f>IF(D9="", "", _xlfn.XLOOKUP(D9, Sheet1!F:F, Sheet1!E:E, ""))</f>
        <v>A69-2801-201222</v>
      </c>
      <c r="P9">
        <f t="shared" si="0"/>
        <v>0.84615384615384615</v>
      </c>
      <c r="Q9" t="str">
        <f t="shared" si="1"/>
        <v>SNS</v>
      </c>
      <c r="R9" t="s">
        <v>136</v>
      </c>
    </row>
    <row r="10" spans="1:25" x14ac:dyDescent="0.25">
      <c r="A10">
        <v>19</v>
      </c>
      <c r="B10" t="s">
        <v>140</v>
      </c>
      <c r="C10">
        <v>19</v>
      </c>
      <c r="D10">
        <v>201217</v>
      </c>
      <c r="E10">
        <v>19</v>
      </c>
      <c r="F10" s="2">
        <v>68.2</v>
      </c>
      <c r="G10">
        <v>82.6</v>
      </c>
      <c r="H10" s="2">
        <v>51</v>
      </c>
      <c r="I10" s="2">
        <v>44</v>
      </c>
      <c r="J10" s="3">
        <v>52</v>
      </c>
      <c r="K10" t="s">
        <v>132</v>
      </c>
      <c r="N10" t="str">
        <f>_xlfn.XLOOKUP(C10, Sheet1!A:A, Sheet1!B:B, "")</f>
        <v>3DD.003E185F89</v>
      </c>
      <c r="O10" t="str">
        <f>IF(D10="", "", _xlfn.XLOOKUP(D10, Sheet1!F:F, Sheet1!E:E, ""))</f>
        <v>A69-2801-201217</v>
      </c>
      <c r="P10">
        <f t="shared" si="0"/>
        <v>0.86274509803921573</v>
      </c>
      <c r="Q10" t="str">
        <f t="shared" si="1"/>
        <v>SNS</v>
      </c>
      <c r="R10" t="s">
        <v>136</v>
      </c>
    </row>
    <row r="11" spans="1:25" x14ac:dyDescent="0.25">
      <c r="A11">
        <v>20</v>
      </c>
      <c r="B11" t="s">
        <v>140</v>
      </c>
      <c r="C11">
        <v>20</v>
      </c>
      <c r="D11">
        <v>201214</v>
      </c>
      <c r="E11">
        <v>20</v>
      </c>
      <c r="F11" s="2">
        <v>58.8</v>
      </c>
      <c r="G11">
        <v>70.400000000000006</v>
      </c>
      <c r="H11" s="2">
        <v>51</v>
      </c>
      <c r="I11" s="2">
        <v>35</v>
      </c>
      <c r="J11" s="3">
        <v>43</v>
      </c>
      <c r="K11" t="s">
        <v>132</v>
      </c>
      <c r="N11" t="str">
        <f>_xlfn.XLOOKUP(C11, Sheet1!A:A, Sheet1!B:B, "")</f>
        <v>3DD.003E185F8E</v>
      </c>
      <c r="O11" t="str">
        <f>IF(D11="", "", _xlfn.XLOOKUP(D11, Sheet1!F:F, Sheet1!E:E, ""))</f>
        <v>A69-2801-201214</v>
      </c>
      <c r="P11">
        <f t="shared" si="0"/>
        <v>0.68627450980392157</v>
      </c>
      <c r="Q11" t="str">
        <f t="shared" si="1"/>
        <v>SNS</v>
      </c>
      <c r="R11" t="s">
        <v>136</v>
      </c>
    </row>
    <row r="12" spans="1:25" x14ac:dyDescent="0.25">
      <c r="A12">
        <v>21</v>
      </c>
      <c r="B12" t="s">
        <v>140</v>
      </c>
      <c r="C12">
        <v>21</v>
      </c>
      <c r="D12">
        <v>201213</v>
      </c>
      <c r="E12">
        <v>21</v>
      </c>
      <c r="F12" s="2">
        <v>59</v>
      </c>
      <c r="G12">
        <v>69.599999999999994</v>
      </c>
      <c r="H12" s="2">
        <v>47</v>
      </c>
      <c r="I12" s="2">
        <v>36</v>
      </c>
      <c r="J12" s="3">
        <v>42</v>
      </c>
      <c r="K12" t="s">
        <v>132</v>
      </c>
      <c r="N12" t="str">
        <f>_xlfn.XLOOKUP(C12, Sheet1!A:A, Sheet1!B:B, "")</f>
        <v>3DD.003E185F88</v>
      </c>
      <c r="O12" t="str">
        <f>IF(D12="", "", _xlfn.XLOOKUP(D12, Sheet1!F:F, Sheet1!E:E, ""))</f>
        <v>A69-2801-201213</v>
      </c>
      <c r="P12">
        <f t="shared" si="0"/>
        <v>0.76595744680851063</v>
      </c>
      <c r="Q12" t="str">
        <f t="shared" si="1"/>
        <v>SNS</v>
      </c>
      <c r="R12" t="s">
        <v>136</v>
      </c>
    </row>
    <row r="13" spans="1:25" x14ac:dyDescent="0.25">
      <c r="A13">
        <v>22</v>
      </c>
      <c r="B13" t="s">
        <v>140</v>
      </c>
      <c r="C13">
        <v>23</v>
      </c>
      <c r="D13">
        <v>201225</v>
      </c>
      <c r="E13">
        <v>22</v>
      </c>
      <c r="F13" s="2">
        <v>63.4</v>
      </c>
      <c r="G13">
        <v>75.2</v>
      </c>
      <c r="H13" s="2">
        <v>46</v>
      </c>
      <c r="I13" s="2">
        <v>35</v>
      </c>
      <c r="J13" s="3">
        <v>43</v>
      </c>
      <c r="K13" t="s">
        <v>132</v>
      </c>
      <c r="N13" t="str">
        <f>_xlfn.XLOOKUP(C13, Sheet1!A:A, Sheet1!B:B, "")</f>
        <v>3DD.003E185F85</v>
      </c>
      <c r="O13" t="str">
        <f>IF(D13="", "", _xlfn.XLOOKUP(D13, Sheet1!F:F, Sheet1!E:E, ""))</f>
        <v>A69-2801-201225</v>
      </c>
      <c r="P13">
        <f t="shared" si="0"/>
        <v>0.76086956521739135</v>
      </c>
      <c r="Q13" t="str">
        <f t="shared" si="1"/>
        <v>SNS</v>
      </c>
      <c r="R13" t="s">
        <v>136</v>
      </c>
    </row>
    <row r="14" spans="1:25" x14ac:dyDescent="0.25">
      <c r="A14">
        <v>23</v>
      </c>
      <c r="B14" t="s">
        <v>140</v>
      </c>
      <c r="C14">
        <v>24</v>
      </c>
      <c r="D14">
        <v>201224</v>
      </c>
      <c r="E14">
        <v>23</v>
      </c>
      <c r="F14" s="2">
        <v>65.400000000000006</v>
      </c>
      <c r="G14">
        <v>77</v>
      </c>
      <c r="H14" s="2">
        <v>51</v>
      </c>
      <c r="I14" s="2">
        <v>57</v>
      </c>
      <c r="J14" s="3">
        <v>45</v>
      </c>
      <c r="K14" t="s">
        <v>132</v>
      </c>
      <c r="N14" t="str">
        <f>_xlfn.XLOOKUP(C14, Sheet1!A:A, Sheet1!B:B, "")</f>
        <v>3DD.003E185F68</v>
      </c>
      <c r="O14" t="str">
        <f>IF(D14="", "", _xlfn.XLOOKUP(D14, Sheet1!F:F, Sheet1!E:E, ""))</f>
        <v>A69-2801-201224</v>
      </c>
      <c r="P14">
        <f t="shared" si="0"/>
        <v>1.1176470588235294</v>
      </c>
      <c r="Q14" t="str">
        <f t="shared" si="1"/>
        <v>SNS</v>
      </c>
      <c r="R14" t="s">
        <v>136</v>
      </c>
    </row>
    <row r="15" spans="1:25" x14ac:dyDescent="0.25">
      <c r="A15">
        <v>24</v>
      </c>
      <c r="B15" t="s">
        <v>140</v>
      </c>
      <c r="C15">
        <v>25</v>
      </c>
      <c r="E15">
        <v>24</v>
      </c>
      <c r="F15" s="2">
        <v>61.4</v>
      </c>
      <c r="G15">
        <v>72.3</v>
      </c>
      <c r="H15" s="2">
        <v>47</v>
      </c>
      <c r="I15" s="2">
        <v>36</v>
      </c>
      <c r="J15" s="3">
        <v>43</v>
      </c>
      <c r="K15" t="s">
        <v>132</v>
      </c>
      <c r="N15" t="str">
        <f>_xlfn.XLOOKUP(C15, Sheet1!A:A, Sheet1!B:B, "")</f>
        <v>3DD.003E185F69</v>
      </c>
      <c r="O15" t="str">
        <f>IF(D15="", "", _xlfn.XLOOKUP(D15, Sheet1!F:F, Sheet1!E:E, ""))</f>
        <v/>
      </c>
      <c r="P15">
        <f t="shared" si="0"/>
        <v>0.76595744680851063</v>
      </c>
      <c r="Q15" t="str">
        <f t="shared" si="1"/>
        <v>SNS</v>
      </c>
      <c r="R15" t="s">
        <v>136</v>
      </c>
    </row>
    <row r="16" spans="1:25" x14ac:dyDescent="0.25">
      <c r="F16" s="2"/>
      <c r="H16" s="2"/>
      <c r="I16" s="2"/>
      <c r="J16" s="3"/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O35" t="str">
        <f>IF(D35="", "", _xlfn.XLOOKUP(D35, Sheet1!F:F, Sheet1!E:E, ""))</f>
        <v/>
      </c>
    </row>
    <row r="36" spans="6:15" x14ac:dyDescent="0.25">
      <c r="F36" s="2"/>
      <c r="H36" s="2"/>
      <c r="I36" s="2"/>
      <c r="J36" s="3"/>
      <c r="O36" t="str">
        <f>IF(D36="", "", _xlfn.XLOOKUP(D36, Sheet1!F:F, Sheet1!E:E,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9B3-2C61-459C-8BA6-3DDB189E9E40}">
  <dimension ref="A1:Y36"/>
  <sheetViews>
    <sheetView workbookViewId="0">
      <selection activeCell="T16" sqref="T16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10.28515625" bestFit="1" customWidth="1"/>
    <col min="22" max="22" width="11.425781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25</v>
      </c>
      <c r="B2" t="s">
        <v>140</v>
      </c>
      <c r="C2" t="s">
        <v>134</v>
      </c>
      <c r="D2">
        <v>201244</v>
      </c>
      <c r="E2">
        <v>26</v>
      </c>
      <c r="F2" s="5">
        <v>91.1</v>
      </c>
      <c r="G2" s="6">
        <v>105</v>
      </c>
      <c r="H2" s="5">
        <v>73.099999999999994</v>
      </c>
      <c r="I2" s="5">
        <v>49.1</v>
      </c>
      <c r="J2" s="7">
        <v>59.8</v>
      </c>
      <c r="K2" t="s">
        <v>131</v>
      </c>
      <c r="L2" t="s">
        <v>151</v>
      </c>
      <c r="N2" t="s">
        <v>147</v>
      </c>
      <c r="O2" t="str">
        <f>IF(D2="", "", _xlfn.XLOOKUP(D2, Sheet1!F:F, Sheet1!E:E, ""))</f>
        <v>A69-2801-201244</v>
      </c>
      <c r="P2">
        <f>IF(OR(I2="",H2=""),"",I2/H2)</f>
        <v>0.6716826265389878</v>
      </c>
      <c r="Q2" t="str">
        <f>IF(P2="", "UKN", IF(P2&lt;0.55, "AST", IF(P2&gt;0.62, "SNS", "UKN")))</f>
        <v>SNS</v>
      </c>
      <c r="R2" t="s">
        <v>136</v>
      </c>
      <c r="T2" s="1">
        <v>45874</v>
      </c>
      <c r="U2" t="s">
        <v>145</v>
      </c>
      <c r="V2" t="s">
        <v>146</v>
      </c>
      <c r="W2">
        <v>514494</v>
      </c>
      <c r="X2">
        <v>4948116</v>
      </c>
    </row>
    <row r="3" spans="1:25" x14ac:dyDescent="0.25">
      <c r="A3">
        <v>26</v>
      </c>
      <c r="B3" t="s">
        <v>140</v>
      </c>
      <c r="C3">
        <v>26</v>
      </c>
      <c r="D3">
        <v>201236</v>
      </c>
      <c r="E3">
        <v>27</v>
      </c>
      <c r="F3" s="2">
        <v>87.3</v>
      </c>
      <c r="G3">
        <v>102.4</v>
      </c>
      <c r="H3" s="8">
        <v>67.7</v>
      </c>
      <c r="I3" s="2">
        <v>47.2</v>
      </c>
      <c r="J3" s="3">
        <v>53.7</v>
      </c>
      <c r="K3" t="s">
        <v>132</v>
      </c>
      <c r="N3" t="str">
        <f>IF(C3="", "", _xlfn.XLOOKUP(C3, Sheet1!A:A, Sheet1!B:B, ""))</f>
        <v>3DD.003E185F7B</v>
      </c>
      <c r="O3" t="str">
        <f>IF(D3="", "", _xlfn.XLOOKUP(D3, Sheet1!F:F, Sheet1!E:E, ""))</f>
        <v>A69-2801-201236</v>
      </c>
      <c r="P3">
        <f t="shared" ref="P3:P16" si="0">IF(OR(I3="",H3=""),"",I3/H3)</f>
        <v>0.69719350073855246</v>
      </c>
      <c r="Q3" t="str">
        <f t="shared" ref="Q3:Q16" si="1">IF(P3="", "UKN", IF(P3&lt;0.55, "AST", IF(P3&gt;0.62, "SNS", "UKN")))</f>
        <v>SNS</v>
      </c>
    </row>
    <row r="4" spans="1:25" x14ac:dyDescent="0.25">
      <c r="A4">
        <v>27</v>
      </c>
      <c r="B4" t="s">
        <v>140</v>
      </c>
      <c r="C4">
        <v>27</v>
      </c>
      <c r="D4">
        <v>201241</v>
      </c>
      <c r="E4">
        <v>28</v>
      </c>
      <c r="F4" s="2">
        <v>95</v>
      </c>
      <c r="G4">
        <v>109.7</v>
      </c>
      <c r="H4" s="8">
        <v>71</v>
      </c>
      <c r="I4" s="2">
        <v>49</v>
      </c>
      <c r="J4" s="3">
        <v>61</v>
      </c>
      <c r="K4" t="s">
        <v>132</v>
      </c>
      <c r="N4" t="str">
        <f>IF(C4="", "", _xlfn.XLOOKUP(C4, Sheet1!A:A, Sheet1!B:B, ""))</f>
        <v>3DD.003E185F82</v>
      </c>
      <c r="O4" t="str">
        <f>IF(D4="", "", _xlfn.XLOOKUP(D4, Sheet1!F:F, Sheet1!E:E, ""))</f>
        <v>A69-2801-201241</v>
      </c>
      <c r="P4">
        <f t="shared" si="0"/>
        <v>0.6901408450704225</v>
      </c>
      <c r="Q4" t="str">
        <f t="shared" si="1"/>
        <v>SNS</v>
      </c>
    </row>
    <row r="5" spans="1:25" x14ac:dyDescent="0.25">
      <c r="A5">
        <v>28</v>
      </c>
      <c r="B5" t="s">
        <v>140</v>
      </c>
      <c r="C5">
        <v>28</v>
      </c>
      <c r="D5">
        <v>201245</v>
      </c>
      <c r="E5">
        <v>29</v>
      </c>
      <c r="F5" s="2">
        <v>109.2</v>
      </c>
      <c r="G5">
        <v>118</v>
      </c>
      <c r="H5" s="8">
        <v>69.099999999999994</v>
      </c>
      <c r="I5" s="2">
        <v>48.5</v>
      </c>
      <c r="J5" s="3">
        <v>66.8</v>
      </c>
      <c r="K5" t="s">
        <v>132</v>
      </c>
      <c r="N5" t="str">
        <f>IF(C5="", "", _xlfn.XLOOKUP(C5, Sheet1!A:A, Sheet1!B:B, ""))</f>
        <v>3DD.003E185F6E</v>
      </c>
      <c r="O5" t="str">
        <f>IF(D5="", "", _xlfn.XLOOKUP(D5, Sheet1!F:F, Sheet1!E:E, ""))</f>
        <v>A69-2801-201245</v>
      </c>
      <c r="P5">
        <f t="shared" si="0"/>
        <v>0.70188133140376274</v>
      </c>
      <c r="Q5" t="str">
        <f t="shared" si="1"/>
        <v>SNS</v>
      </c>
    </row>
    <row r="6" spans="1:25" x14ac:dyDescent="0.25">
      <c r="A6">
        <v>29</v>
      </c>
      <c r="B6" t="s">
        <v>97</v>
      </c>
      <c r="C6">
        <v>29</v>
      </c>
      <c r="D6">
        <v>201246</v>
      </c>
      <c r="E6">
        <v>30</v>
      </c>
      <c r="F6" s="2">
        <v>94.4</v>
      </c>
      <c r="G6">
        <v>113.2</v>
      </c>
      <c r="H6" s="8">
        <v>77.8</v>
      </c>
      <c r="I6" s="2">
        <v>37.6</v>
      </c>
      <c r="J6" s="3">
        <v>51.4</v>
      </c>
      <c r="K6" t="s">
        <v>132</v>
      </c>
      <c r="N6" t="str">
        <f>IF(C6="", "", _xlfn.XLOOKUP(C6, Sheet1!A:A, Sheet1!B:B, ""))</f>
        <v>3DD.003E185F8B</v>
      </c>
      <c r="O6" t="str">
        <f>IF(D6="", "", _xlfn.XLOOKUP(D6, Sheet1!F:F, Sheet1!E:E, ""))</f>
        <v>A69-2801-201246</v>
      </c>
      <c r="P6">
        <f t="shared" si="0"/>
        <v>0.48329048843187666</v>
      </c>
      <c r="Q6" t="str">
        <f t="shared" si="1"/>
        <v>AST</v>
      </c>
    </row>
    <row r="7" spans="1:25" x14ac:dyDescent="0.25">
      <c r="A7">
        <v>30</v>
      </c>
      <c r="B7" t="s">
        <v>97</v>
      </c>
      <c r="C7">
        <v>30</v>
      </c>
      <c r="D7">
        <v>201243</v>
      </c>
      <c r="E7">
        <v>31</v>
      </c>
      <c r="F7" s="2">
        <v>87</v>
      </c>
      <c r="G7">
        <v>101.4</v>
      </c>
      <c r="H7" s="8">
        <v>63</v>
      </c>
      <c r="I7" s="2">
        <v>33</v>
      </c>
      <c r="J7" s="3">
        <v>47</v>
      </c>
      <c r="K7" t="s">
        <v>132</v>
      </c>
      <c r="N7" t="str">
        <f>IF(C7="", "", _xlfn.XLOOKUP(C7, Sheet1!A:A, Sheet1!B:B, ""))</f>
        <v>3DD.003E185F8A</v>
      </c>
      <c r="O7" t="str">
        <f>IF(D7="", "", _xlfn.XLOOKUP(D7, Sheet1!F:F, Sheet1!E:E, ""))</f>
        <v>A69-2801-201243</v>
      </c>
      <c r="P7">
        <f t="shared" si="0"/>
        <v>0.52380952380952384</v>
      </c>
      <c r="Q7" t="str">
        <f t="shared" si="1"/>
        <v>AST</v>
      </c>
    </row>
    <row r="8" spans="1:25" x14ac:dyDescent="0.25">
      <c r="A8">
        <v>31</v>
      </c>
      <c r="B8" t="s">
        <v>97</v>
      </c>
      <c r="C8">
        <v>31</v>
      </c>
      <c r="D8">
        <v>201242</v>
      </c>
      <c r="E8">
        <v>32</v>
      </c>
      <c r="F8" s="2">
        <v>90.4</v>
      </c>
      <c r="G8">
        <v>108.6</v>
      </c>
      <c r="H8" s="9">
        <v>71</v>
      </c>
      <c r="I8" s="2">
        <v>36.1</v>
      </c>
      <c r="J8" s="3">
        <v>55.9</v>
      </c>
      <c r="K8" t="s">
        <v>132</v>
      </c>
      <c r="L8" t="s">
        <v>148</v>
      </c>
      <c r="N8" t="str">
        <f>IF(C8="", "", _xlfn.XLOOKUP(C8, Sheet1!A:A, Sheet1!B:B, ""))</f>
        <v>3DD.003E185F7C</v>
      </c>
      <c r="O8" t="str">
        <f>IF(D8="", "", _xlfn.XLOOKUP(D8, Sheet1!F:F, Sheet1!E:E, ""))</f>
        <v>A69-2801-201242</v>
      </c>
      <c r="P8">
        <f t="shared" si="0"/>
        <v>0.5084507042253521</v>
      </c>
      <c r="Q8" t="str">
        <f t="shared" si="1"/>
        <v>AST</v>
      </c>
    </row>
    <row r="9" spans="1:25" x14ac:dyDescent="0.25">
      <c r="A9">
        <v>32</v>
      </c>
      <c r="B9" t="s">
        <v>140</v>
      </c>
      <c r="C9" t="s">
        <v>134</v>
      </c>
      <c r="D9">
        <v>201247</v>
      </c>
      <c r="E9">
        <v>33</v>
      </c>
      <c r="F9" s="2">
        <v>90.3</v>
      </c>
      <c r="G9">
        <v>104.8</v>
      </c>
      <c r="H9" s="2">
        <v>68</v>
      </c>
      <c r="I9" s="2">
        <v>39</v>
      </c>
      <c r="J9" s="3">
        <v>55</v>
      </c>
      <c r="K9" t="s">
        <v>131</v>
      </c>
      <c r="L9" t="s">
        <v>151</v>
      </c>
      <c r="N9" t="s">
        <v>152</v>
      </c>
      <c r="O9" t="str">
        <f>IF(D9="", "", _xlfn.XLOOKUP(D9, Sheet1!F:F, Sheet1!E:E, ""))</f>
        <v>A69-2801-201247</v>
      </c>
      <c r="P9">
        <f t="shared" si="0"/>
        <v>0.57352941176470584</v>
      </c>
      <c r="Q9" t="str">
        <f t="shared" si="1"/>
        <v>UKN</v>
      </c>
    </row>
    <row r="10" spans="1:25" x14ac:dyDescent="0.25">
      <c r="A10">
        <v>33</v>
      </c>
      <c r="B10" t="s">
        <v>140</v>
      </c>
      <c r="C10" t="s">
        <v>134</v>
      </c>
      <c r="D10">
        <v>201232</v>
      </c>
      <c r="E10">
        <v>34</v>
      </c>
      <c r="F10" s="2">
        <v>89</v>
      </c>
      <c r="G10">
        <v>100.4</v>
      </c>
      <c r="H10" s="2">
        <v>67</v>
      </c>
      <c r="I10" s="2">
        <v>38</v>
      </c>
      <c r="J10" s="3">
        <v>59</v>
      </c>
      <c r="K10" t="s">
        <v>131</v>
      </c>
      <c r="L10" t="s">
        <v>151</v>
      </c>
      <c r="N10" t="s">
        <v>149</v>
      </c>
      <c r="O10" t="str">
        <f>IF(D10="", "", _xlfn.XLOOKUP(D10, Sheet1!F:F, Sheet1!E:E, ""))</f>
        <v>A69-2801-201232</v>
      </c>
      <c r="P10">
        <f t="shared" si="0"/>
        <v>0.56716417910447758</v>
      </c>
      <c r="Q10" t="str">
        <f t="shared" si="1"/>
        <v>UKN</v>
      </c>
    </row>
    <row r="11" spans="1:25" x14ac:dyDescent="0.25">
      <c r="A11">
        <v>34</v>
      </c>
      <c r="B11" t="s">
        <v>140</v>
      </c>
      <c r="C11" t="s">
        <v>134</v>
      </c>
      <c r="D11">
        <v>201234</v>
      </c>
      <c r="E11">
        <v>35</v>
      </c>
      <c r="F11" s="2">
        <v>86.8</v>
      </c>
      <c r="G11">
        <v>101</v>
      </c>
      <c r="H11" s="2">
        <v>62</v>
      </c>
      <c r="I11" s="2">
        <v>47</v>
      </c>
      <c r="J11" s="3">
        <v>54</v>
      </c>
      <c r="K11" t="s">
        <v>131</v>
      </c>
      <c r="L11" t="s">
        <v>151</v>
      </c>
      <c r="N11" t="s">
        <v>150</v>
      </c>
      <c r="O11" t="str">
        <f>IF(D11="", "", _xlfn.XLOOKUP(D11, Sheet1!F:F, Sheet1!E:E, ""))</f>
        <v>A69-2801-201234</v>
      </c>
      <c r="P11">
        <f t="shared" si="0"/>
        <v>0.75806451612903225</v>
      </c>
      <c r="Q11" t="str">
        <f t="shared" si="1"/>
        <v>SNS</v>
      </c>
    </row>
    <row r="12" spans="1:25" x14ac:dyDescent="0.25">
      <c r="A12">
        <v>35</v>
      </c>
      <c r="B12" t="s">
        <v>97</v>
      </c>
      <c r="C12">
        <v>32</v>
      </c>
      <c r="D12">
        <v>201229</v>
      </c>
      <c r="E12">
        <v>36</v>
      </c>
      <c r="F12" s="2">
        <v>159.19999999999999</v>
      </c>
      <c r="G12">
        <v>185.3</v>
      </c>
      <c r="H12" s="2">
        <v>120</v>
      </c>
      <c r="I12" s="2">
        <v>59.7</v>
      </c>
      <c r="J12" s="3">
        <v>85.9</v>
      </c>
      <c r="K12" t="s">
        <v>132</v>
      </c>
      <c r="N12" t="str">
        <f>IF(C12="", "", _xlfn.XLOOKUP(C12, Sheet1!A:A, Sheet1!B:B, ""))</f>
        <v>3DD.003E185F81</v>
      </c>
      <c r="O12" t="str">
        <f>IF(D12="", "", _xlfn.XLOOKUP(D12, Sheet1!F:F, Sheet1!E:E, ""))</f>
        <v>A69-2801-201229</v>
      </c>
      <c r="P12">
        <f t="shared" si="0"/>
        <v>0.4975</v>
      </c>
      <c r="Q12" t="str">
        <f t="shared" si="1"/>
        <v>AST</v>
      </c>
    </row>
    <row r="13" spans="1:25" x14ac:dyDescent="0.25">
      <c r="A13">
        <v>36</v>
      </c>
      <c r="B13" t="s">
        <v>97</v>
      </c>
      <c r="C13">
        <v>33</v>
      </c>
      <c r="E13">
        <v>37</v>
      </c>
      <c r="F13" s="2">
        <v>79.8</v>
      </c>
      <c r="G13">
        <v>90.6</v>
      </c>
      <c r="H13" s="2">
        <v>63</v>
      </c>
      <c r="I13" s="2">
        <v>34</v>
      </c>
      <c r="J13" s="3">
        <v>49</v>
      </c>
      <c r="K13" t="s">
        <v>132</v>
      </c>
      <c r="L13" t="s">
        <v>153</v>
      </c>
      <c r="N13" t="str">
        <f>IF(C13="", "", _xlfn.XLOOKUP(C13, Sheet1!A:A, Sheet1!B:B, ""))</f>
        <v>3DD.003E185F6F</v>
      </c>
      <c r="O13" t="str">
        <f>IF(D13="", "", _xlfn.XLOOKUP(D13, Sheet1!F:F, Sheet1!E:E, ""))</f>
        <v/>
      </c>
      <c r="P13">
        <f t="shared" si="0"/>
        <v>0.53968253968253965</v>
      </c>
      <c r="Q13" t="str">
        <f t="shared" si="1"/>
        <v>AST</v>
      </c>
    </row>
    <row r="14" spans="1:25" x14ac:dyDescent="0.25">
      <c r="A14">
        <v>37</v>
      </c>
      <c r="B14" t="s">
        <v>97</v>
      </c>
      <c r="C14">
        <v>34</v>
      </c>
      <c r="D14">
        <v>201233</v>
      </c>
      <c r="E14">
        <v>38</v>
      </c>
      <c r="F14" s="2">
        <v>90</v>
      </c>
      <c r="G14">
        <v>105.8</v>
      </c>
      <c r="H14" s="2">
        <v>73</v>
      </c>
      <c r="I14" s="2">
        <v>39</v>
      </c>
      <c r="J14" s="3">
        <v>52</v>
      </c>
      <c r="K14" t="s">
        <v>132</v>
      </c>
      <c r="N14" t="str">
        <f>IF(C14="", "", _xlfn.XLOOKUP(C14, Sheet1!A:A, Sheet1!B:B, ""))</f>
        <v>3DD.003E185F7A</v>
      </c>
      <c r="O14" t="str">
        <f>IF(D14="", "", _xlfn.XLOOKUP(D14, Sheet1!F:F, Sheet1!E:E, ""))</f>
        <v>A69-2801-201233</v>
      </c>
      <c r="P14">
        <f t="shared" si="0"/>
        <v>0.53424657534246578</v>
      </c>
      <c r="Q14" t="str">
        <f t="shared" si="1"/>
        <v>AST</v>
      </c>
    </row>
    <row r="15" spans="1:25" x14ac:dyDescent="0.25">
      <c r="A15">
        <v>38</v>
      </c>
      <c r="B15" t="s">
        <v>140</v>
      </c>
      <c r="C15">
        <v>35</v>
      </c>
      <c r="D15">
        <v>201239</v>
      </c>
      <c r="E15">
        <v>39</v>
      </c>
      <c r="F15" s="2">
        <v>94.8</v>
      </c>
      <c r="G15">
        <v>108.8</v>
      </c>
      <c r="H15" s="2">
        <v>73</v>
      </c>
      <c r="I15" s="2">
        <v>50</v>
      </c>
      <c r="J15" s="3">
        <v>66</v>
      </c>
      <c r="K15" t="s">
        <v>132</v>
      </c>
      <c r="L15" t="s">
        <v>154</v>
      </c>
      <c r="N15" t="str">
        <f>IF(C15="", "", _xlfn.XLOOKUP(C15, Sheet1!A:A, Sheet1!B:B, ""))</f>
        <v>3DD.003E185F66</v>
      </c>
      <c r="O15" t="str">
        <f>IF(D15="", "", _xlfn.XLOOKUP(D15, Sheet1!F:F, Sheet1!E:E, ""))</f>
        <v>A69-2801-201239</v>
      </c>
      <c r="P15">
        <f t="shared" si="0"/>
        <v>0.68493150684931503</v>
      </c>
      <c r="Q15" t="str">
        <f t="shared" si="1"/>
        <v>SNS</v>
      </c>
    </row>
    <row r="16" spans="1:25" x14ac:dyDescent="0.25">
      <c r="A16">
        <v>39</v>
      </c>
      <c r="B16" t="s">
        <v>97</v>
      </c>
      <c r="C16">
        <v>36</v>
      </c>
      <c r="D16">
        <v>201240</v>
      </c>
      <c r="E16">
        <v>40</v>
      </c>
      <c r="F16" s="2">
        <v>85.6</v>
      </c>
      <c r="G16">
        <v>103</v>
      </c>
      <c r="H16" s="2">
        <v>79</v>
      </c>
      <c r="I16" s="2">
        <v>34</v>
      </c>
      <c r="J16" s="3">
        <v>53</v>
      </c>
      <c r="K16" t="s">
        <v>132</v>
      </c>
      <c r="N16" t="str">
        <f>IF(C16="", "", _xlfn.XLOOKUP(C16, Sheet1!A:A, Sheet1!B:B, ""))</f>
        <v>3DD.003E185F83</v>
      </c>
      <c r="O16" t="str">
        <f>IF(D16="", "", _xlfn.XLOOKUP(D16, Sheet1!F:F, Sheet1!E:E, ""))</f>
        <v>A69-2801-201240</v>
      </c>
      <c r="P16">
        <f t="shared" si="0"/>
        <v>0.43037974683544306</v>
      </c>
      <c r="Q16" t="str">
        <f t="shared" si="1"/>
        <v>AST</v>
      </c>
    </row>
    <row r="17" spans="14:15" x14ac:dyDescent="0.25"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14:15" x14ac:dyDescent="0.25"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14:15" x14ac:dyDescent="0.25"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14:15" x14ac:dyDescent="0.25"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14:15" x14ac:dyDescent="0.25"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14:15" x14ac:dyDescent="0.25"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14:15" x14ac:dyDescent="0.25"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14:15" x14ac:dyDescent="0.25"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14:15" x14ac:dyDescent="0.25"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14:15" x14ac:dyDescent="0.25"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14:15" x14ac:dyDescent="0.25"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14:15" x14ac:dyDescent="0.25"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14:15" x14ac:dyDescent="0.25"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14:15" x14ac:dyDescent="0.25"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14:15" x14ac:dyDescent="0.25"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14:15" x14ac:dyDescent="0.25"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14:15" x14ac:dyDescent="0.25"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14:15" x14ac:dyDescent="0.25"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14:15" x14ac:dyDescent="0.25">
      <c r="N35" t="str">
        <f>IF(C35="", "", _xlfn.XLOOKUP(C35, Sheet1!A:A, Sheet1!B:B, ""))</f>
        <v/>
      </c>
    </row>
    <row r="36" spans="14:15" x14ac:dyDescent="0.25">
      <c r="N36" t="str">
        <f>IF(C36="", "", _xlfn.XLOOKUP(C36, Sheet1!A:A, Sheet1!B:B, ""))</f>
        <v/>
      </c>
    </row>
  </sheetData>
  <conditionalFormatting sqref="Q2:Q36">
    <cfRule type="expression" dxfId="8" priority="1">
      <formula>$Q2="UKN"</formula>
    </cfRule>
    <cfRule type="expression" dxfId="7" priority="2" stopIfTrue="1">
      <formula>AND($Q2=$B2, $Q2&lt;&gt;"", $B2&lt;&gt;"")</formula>
    </cfRule>
    <cfRule type="expression" dxfId="6" priority="3" stopIfTrue="1">
      <formula>AND($Q2&lt;&gt;$B2, $Q2&lt;&gt;"UKN", $Q2&lt;&gt;"", $B2&lt;&gt;"")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AEC3-E597-43CF-8A39-542D98AFB6F7}">
  <dimension ref="A1:Y38"/>
  <sheetViews>
    <sheetView tabSelected="1" workbookViewId="0">
      <selection activeCell="W8" sqref="W8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11.1406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40</v>
      </c>
      <c r="B2" t="s">
        <v>97</v>
      </c>
      <c r="C2">
        <v>37</v>
      </c>
      <c r="D2">
        <v>201235</v>
      </c>
      <c r="E2">
        <v>41</v>
      </c>
      <c r="F2" s="5">
        <v>109</v>
      </c>
      <c r="G2" s="6">
        <v>125</v>
      </c>
      <c r="H2" s="5">
        <v>91.4</v>
      </c>
      <c r="I2" s="5">
        <v>48.2</v>
      </c>
      <c r="J2" s="7">
        <v>68.400000000000006</v>
      </c>
      <c r="K2" t="s">
        <v>132</v>
      </c>
      <c r="N2" t="str">
        <f>IF(C2="", "", _xlfn.XLOOKUP(C2, Sheet1!A:A, Sheet1!B:B, ""))</f>
        <v>3DD.003E185F6D</v>
      </c>
      <c r="O2" t="str">
        <f>IF(D2="", "", _xlfn.XLOOKUP(D2, Sheet1!F:F, Sheet1!E:E, ""))</f>
        <v>A69-2801-201235</v>
      </c>
      <c r="P2">
        <f>IF(OR(I2="",H2=""),"",I2/H2)</f>
        <v>0.52735229759299784</v>
      </c>
      <c r="Q2" t="str">
        <f>IF(P2="", "UKN", IF(P2&lt;0.55, "AST", IF(P2&gt;0.62, "SNS", "UKN")))</f>
        <v>AST</v>
      </c>
      <c r="R2" t="s">
        <v>136</v>
      </c>
      <c r="T2" s="1">
        <v>45886</v>
      </c>
      <c r="U2" t="s">
        <v>145</v>
      </c>
      <c r="V2" t="s">
        <v>146</v>
      </c>
      <c r="W2">
        <v>514494</v>
      </c>
      <c r="X2">
        <v>4948116</v>
      </c>
    </row>
    <row r="3" spans="1:25" x14ac:dyDescent="0.25">
      <c r="A3">
        <v>41</v>
      </c>
      <c r="B3" t="s">
        <v>97</v>
      </c>
      <c r="C3">
        <v>38</v>
      </c>
      <c r="D3">
        <v>201230</v>
      </c>
      <c r="E3">
        <v>42</v>
      </c>
      <c r="F3" s="2">
        <v>1</v>
      </c>
      <c r="G3">
        <v>114</v>
      </c>
      <c r="H3" s="8">
        <v>80</v>
      </c>
      <c r="I3" s="2">
        <v>43</v>
      </c>
      <c r="J3" s="3">
        <v>59</v>
      </c>
      <c r="K3" t="s">
        <v>132</v>
      </c>
      <c r="N3" t="str">
        <f>IF(C3="", "", _xlfn.XLOOKUP(C3, Sheet1!A:A, Sheet1!B:B, ""))</f>
        <v>3DD.003E185F6B</v>
      </c>
      <c r="O3" t="str">
        <f>IF(D3="", "", _xlfn.XLOOKUP(D3, Sheet1!F:F, Sheet1!E:E, ""))</f>
        <v>A69-2801-201230</v>
      </c>
      <c r="P3">
        <f t="shared" ref="P3:P13" si="0">IF(OR(I3="",H3=""),"",I3/H3)</f>
        <v>0.53749999999999998</v>
      </c>
      <c r="Q3" t="str">
        <f t="shared" ref="Q3:Q13" si="1">IF(P3="", "UKN", IF(P3&lt;0.55, "AST", IF(P3&gt;0.62, "SNS", "UKN")))</f>
        <v>AST</v>
      </c>
    </row>
    <row r="4" spans="1:25" x14ac:dyDescent="0.25">
      <c r="A4">
        <v>42</v>
      </c>
      <c r="B4" t="s">
        <v>97</v>
      </c>
      <c r="C4">
        <v>39</v>
      </c>
      <c r="D4">
        <v>201231</v>
      </c>
      <c r="E4">
        <v>43</v>
      </c>
      <c r="F4" s="2">
        <v>103</v>
      </c>
      <c r="G4">
        <v>123</v>
      </c>
      <c r="H4" s="8">
        <v>85</v>
      </c>
      <c r="I4" s="2">
        <v>43</v>
      </c>
      <c r="J4" s="3">
        <v>64</v>
      </c>
      <c r="K4" t="s">
        <v>132</v>
      </c>
      <c r="N4" t="str">
        <f>IF(C4="", "", _xlfn.XLOOKUP(C4, Sheet1!A:A, Sheet1!B:B, ""))</f>
        <v>3DD.003E185F73</v>
      </c>
      <c r="O4" t="str">
        <f>IF(D4="", "", _xlfn.XLOOKUP(D4, Sheet1!F:F, Sheet1!E:E, ""))</f>
        <v>A69-2801-201231</v>
      </c>
      <c r="P4">
        <f t="shared" si="0"/>
        <v>0.50588235294117645</v>
      </c>
      <c r="Q4" t="str">
        <f t="shared" si="1"/>
        <v>AST</v>
      </c>
    </row>
    <row r="5" spans="1:25" x14ac:dyDescent="0.25">
      <c r="A5">
        <v>43</v>
      </c>
      <c r="B5" t="s">
        <v>97</v>
      </c>
      <c r="C5">
        <v>40</v>
      </c>
      <c r="E5">
        <v>44</v>
      </c>
      <c r="F5" s="2">
        <v>93</v>
      </c>
      <c r="G5">
        <v>105.8</v>
      </c>
      <c r="H5" s="8">
        <v>76</v>
      </c>
      <c r="I5" s="2">
        <v>36.4</v>
      </c>
      <c r="J5" s="3">
        <v>55.4</v>
      </c>
      <c r="K5" t="s">
        <v>132</v>
      </c>
      <c r="N5" t="str">
        <f>IF(C5="", "", _xlfn.XLOOKUP(C5, Sheet1!A:A, Sheet1!B:B, ""))</f>
        <v>3DD.003E185F71</v>
      </c>
      <c r="O5" t="str">
        <f>IF(D5="", "", _xlfn.XLOOKUP(D5, Sheet1!F:F, Sheet1!E:E, ""))</f>
        <v/>
      </c>
      <c r="P5">
        <f t="shared" si="0"/>
        <v>0.47894736842105262</v>
      </c>
      <c r="Q5" t="str">
        <f t="shared" si="1"/>
        <v>AST</v>
      </c>
    </row>
    <row r="6" spans="1:25" x14ac:dyDescent="0.25">
      <c r="A6">
        <v>44</v>
      </c>
      <c r="B6" t="s">
        <v>97</v>
      </c>
      <c r="C6">
        <v>41</v>
      </c>
      <c r="E6">
        <v>45</v>
      </c>
      <c r="F6" s="2">
        <v>84.2</v>
      </c>
      <c r="G6">
        <v>100.2</v>
      </c>
      <c r="H6" s="8">
        <v>65</v>
      </c>
      <c r="I6" s="2">
        <v>30.5</v>
      </c>
      <c r="J6" s="3">
        <v>46.7</v>
      </c>
      <c r="K6" t="s">
        <v>132</v>
      </c>
      <c r="N6" t="str">
        <f>IF(C6="", "", _xlfn.XLOOKUP(C6, Sheet1!A:A, Sheet1!B:B, ""))</f>
        <v>3DD.003E185F5F</v>
      </c>
      <c r="O6" t="str">
        <f>IF(D6="", "", _xlfn.XLOOKUP(D6, Sheet1!F:F, Sheet1!E:E, ""))</f>
        <v/>
      </c>
      <c r="P6">
        <f t="shared" si="0"/>
        <v>0.46923076923076923</v>
      </c>
      <c r="Q6" t="str">
        <f t="shared" si="1"/>
        <v>AST</v>
      </c>
    </row>
    <row r="7" spans="1:25" x14ac:dyDescent="0.25">
      <c r="A7">
        <v>45</v>
      </c>
      <c r="B7" t="s">
        <v>97</v>
      </c>
      <c r="C7">
        <v>42</v>
      </c>
      <c r="D7">
        <v>201226</v>
      </c>
      <c r="E7">
        <v>46</v>
      </c>
      <c r="F7" s="2">
        <v>95</v>
      </c>
      <c r="G7">
        <v>112</v>
      </c>
      <c r="H7" s="8">
        <v>75</v>
      </c>
      <c r="I7" s="2">
        <v>34.799999999999997</v>
      </c>
      <c r="J7" s="3">
        <v>56.4</v>
      </c>
      <c r="K7" t="s">
        <v>132</v>
      </c>
      <c r="N7" t="str">
        <f>IF(C7="", "", _xlfn.XLOOKUP(C7, Sheet1!A:A, Sheet1!B:B, ""))</f>
        <v>3DD.003E185F58</v>
      </c>
      <c r="O7" t="str">
        <f>IF(D7="", "", _xlfn.XLOOKUP(D7, Sheet1!F:F, Sheet1!E:E, ""))</f>
        <v>A69-2801-201226</v>
      </c>
      <c r="P7">
        <f t="shared" si="0"/>
        <v>0.46399999999999997</v>
      </c>
      <c r="Q7" t="str">
        <f t="shared" si="1"/>
        <v>AST</v>
      </c>
    </row>
    <row r="8" spans="1:25" x14ac:dyDescent="0.25">
      <c r="A8">
        <v>46</v>
      </c>
      <c r="B8" t="s">
        <v>97</v>
      </c>
      <c r="C8">
        <v>43</v>
      </c>
      <c r="E8">
        <v>47</v>
      </c>
      <c r="F8" s="2">
        <v>90</v>
      </c>
      <c r="G8">
        <v>107</v>
      </c>
      <c r="H8" s="9">
        <v>76</v>
      </c>
      <c r="I8" s="2">
        <v>32.200000000000003</v>
      </c>
      <c r="J8" s="3">
        <v>50.3</v>
      </c>
      <c r="K8" t="s">
        <v>132</v>
      </c>
      <c r="N8" t="str">
        <f>IF(C8="", "", _xlfn.XLOOKUP(C8, Sheet1!A:A, Sheet1!B:B, ""))</f>
        <v>3DD.003E185F48</v>
      </c>
      <c r="O8" t="str">
        <f>IF(D8="", "", _xlfn.XLOOKUP(D8, Sheet1!F:F, Sheet1!E:E, ""))</f>
        <v/>
      </c>
      <c r="P8">
        <f t="shared" si="0"/>
        <v>0.42368421052631583</v>
      </c>
      <c r="Q8" t="str">
        <f t="shared" si="1"/>
        <v>AST</v>
      </c>
    </row>
    <row r="9" spans="1:25" x14ac:dyDescent="0.25">
      <c r="A9">
        <v>47</v>
      </c>
      <c r="B9" t="s">
        <v>97</v>
      </c>
      <c r="C9">
        <v>44</v>
      </c>
      <c r="E9">
        <v>48</v>
      </c>
      <c r="F9" s="2">
        <v>83</v>
      </c>
      <c r="G9">
        <v>99.4</v>
      </c>
      <c r="H9" s="2">
        <v>65.599999999999994</v>
      </c>
      <c r="I9" s="2">
        <v>27.8</v>
      </c>
      <c r="J9" s="3">
        <v>46</v>
      </c>
      <c r="K9" t="s">
        <v>132</v>
      </c>
      <c r="N9" t="str">
        <f>IF(C9="", "", _xlfn.XLOOKUP(C9, Sheet1!A:A, Sheet1!B:B, ""))</f>
        <v>3DD.003E185F61</v>
      </c>
      <c r="O9" t="str">
        <f>IF(D9="", "", _xlfn.XLOOKUP(D9, Sheet1!F:F, Sheet1!E:E, ""))</f>
        <v/>
      </c>
      <c r="P9">
        <f t="shared" si="0"/>
        <v>0.42378048780487809</v>
      </c>
      <c r="Q9" t="str">
        <f t="shared" si="1"/>
        <v>AST</v>
      </c>
    </row>
    <row r="10" spans="1:25" x14ac:dyDescent="0.25">
      <c r="A10">
        <v>48</v>
      </c>
      <c r="B10" t="s">
        <v>97</v>
      </c>
      <c r="C10">
        <v>45</v>
      </c>
      <c r="D10">
        <v>201238</v>
      </c>
      <c r="E10">
        <v>49</v>
      </c>
      <c r="F10" s="2">
        <v>130</v>
      </c>
      <c r="G10">
        <v>152</v>
      </c>
      <c r="H10" s="2">
        <v>113</v>
      </c>
      <c r="I10" s="2">
        <v>49</v>
      </c>
      <c r="J10" s="3">
        <v>74</v>
      </c>
      <c r="K10" t="s">
        <v>132</v>
      </c>
      <c r="N10" t="str">
        <f>IF(C10="", "", _xlfn.XLOOKUP(C10, Sheet1!A:A, Sheet1!B:B, ""))</f>
        <v>3DD.003E185F53</v>
      </c>
      <c r="O10" t="str">
        <f>IF(D10="", "", _xlfn.XLOOKUP(D10, Sheet1!F:F, Sheet1!E:E, ""))</f>
        <v>A69-2801-201238</v>
      </c>
      <c r="P10">
        <f t="shared" si="0"/>
        <v>0.4336283185840708</v>
      </c>
      <c r="Q10" t="str">
        <f t="shared" si="1"/>
        <v>AST</v>
      </c>
    </row>
    <row r="11" spans="1:25" x14ac:dyDescent="0.25">
      <c r="A11">
        <v>49</v>
      </c>
      <c r="B11" t="s">
        <v>140</v>
      </c>
      <c r="C11">
        <v>46</v>
      </c>
      <c r="D11">
        <v>201252</v>
      </c>
      <c r="E11">
        <v>50</v>
      </c>
      <c r="F11" s="2">
        <v>94.6</v>
      </c>
      <c r="G11">
        <v>107.6</v>
      </c>
      <c r="H11" s="2">
        <v>75</v>
      </c>
      <c r="I11" s="2">
        <v>48</v>
      </c>
      <c r="J11" s="3">
        <v>70</v>
      </c>
      <c r="K11" t="s">
        <v>132</v>
      </c>
      <c r="N11" t="str">
        <f>IF(C11="", "", _xlfn.XLOOKUP(C11, Sheet1!A:A, Sheet1!B:B, ""))</f>
        <v>3DD.003E185F84</v>
      </c>
      <c r="O11" t="str">
        <f>IF(D11="", "", _xlfn.XLOOKUP(D11, Sheet1!F:F, Sheet1!E:E, ""))</f>
        <v>A69-2801-201252</v>
      </c>
      <c r="P11">
        <f t="shared" si="0"/>
        <v>0.64</v>
      </c>
      <c r="Q11" t="str">
        <f t="shared" si="1"/>
        <v>SNS</v>
      </c>
    </row>
    <row r="12" spans="1:25" x14ac:dyDescent="0.25">
      <c r="A12">
        <v>50</v>
      </c>
      <c r="B12" t="s">
        <v>140</v>
      </c>
      <c r="C12">
        <v>47</v>
      </c>
      <c r="D12">
        <v>201251</v>
      </c>
      <c r="E12">
        <v>51</v>
      </c>
      <c r="F12" s="2">
        <v>85.4</v>
      </c>
      <c r="G12">
        <v>97</v>
      </c>
      <c r="H12" s="2">
        <v>63.1</v>
      </c>
      <c r="I12" s="2">
        <v>42.8</v>
      </c>
      <c r="J12" s="3">
        <v>53.5</v>
      </c>
      <c r="K12" t="s">
        <v>132</v>
      </c>
      <c r="N12" t="str">
        <f>IF(C12="", "", _xlfn.XLOOKUP(C12, Sheet1!A:A, Sheet1!B:B, ""))</f>
        <v>3DD.003E185F67</v>
      </c>
      <c r="O12" t="str">
        <f>IF(D12="", "", _xlfn.XLOOKUP(D12, Sheet1!F:F, Sheet1!E:E, ""))</f>
        <v>A69-2801-201251</v>
      </c>
      <c r="P12">
        <f t="shared" si="0"/>
        <v>0.67828843106180658</v>
      </c>
      <c r="Q12" t="str">
        <f t="shared" si="1"/>
        <v>SNS</v>
      </c>
    </row>
    <row r="13" spans="1:25" x14ac:dyDescent="0.25">
      <c r="A13">
        <v>51</v>
      </c>
      <c r="B13" t="s">
        <v>140</v>
      </c>
      <c r="C13" t="s">
        <v>134</v>
      </c>
      <c r="D13">
        <v>201227</v>
      </c>
      <c r="E13">
        <v>52</v>
      </c>
      <c r="F13" s="2">
        <v>96</v>
      </c>
      <c r="G13">
        <v>114.6</v>
      </c>
      <c r="H13" s="2">
        <v>66.5</v>
      </c>
      <c r="I13" s="2">
        <v>50.4</v>
      </c>
      <c r="J13" s="3">
        <v>69.2</v>
      </c>
      <c r="K13" t="s">
        <v>132</v>
      </c>
      <c r="L13" t="s">
        <v>156</v>
      </c>
      <c r="N13" t="s">
        <v>155</v>
      </c>
      <c r="O13" t="str">
        <f>IF(D13="", "", _xlfn.XLOOKUP(D13, Sheet1!F:F, Sheet1!E:E, ""))</f>
        <v>A69-2801-201227</v>
      </c>
      <c r="P13">
        <f t="shared" si="0"/>
        <v>0.75789473684210529</v>
      </c>
      <c r="Q13" t="str">
        <f t="shared" si="1"/>
        <v>SNS</v>
      </c>
    </row>
    <row r="14" spans="1:25" x14ac:dyDescent="0.25">
      <c r="F14" s="2"/>
      <c r="H14" s="2"/>
      <c r="I14" s="2"/>
      <c r="J14" s="3"/>
      <c r="N14" t="str">
        <f>IF(C14="", "", _xlfn.XLOOKUP(C14, Sheet1!A:A, Sheet1!B:B, ""))</f>
        <v/>
      </c>
      <c r="O14" t="str">
        <f>IF(D14="", "", _xlfn.XLOOKUP(D14, Sheet1!F:F, Sheet1!E:E, ""))</f>
        <v/>
      </c>
    </row>
    <row r="15" spans="1:25" x14ac:dyDescent="0.25">
      <c r="F15" s="2"/>
      <c r="H15" s="2"/>
      <c r="I15" s="2"/>
      <c r="J15" s="3"/>
      <c r="N15" t="str">
        <f>IF(C15="", "", _xlfn.XLOOKUP(C15, Sheet1!A:A, Sheet1!B:B, ""))</f>
        <v/>
      </c>
      <c r="O15" t="str">
        <f>IF(D15="", "", _xlfn.XLOOKUP(D15, Sheet1!F:F, Sheet1!E:E, ""))</f>
        <v/>
      </c>
    </row>
    <row r="16" spans="1:25" x14ac:dyDescent="0.25">
      <c r="F16" s="2"/>
      <c r="H16" s="2"/>
      <c r="I16" s="2"/>
      <c r="J16" s="3"/>
      <c r="N16" t="str">
        <f>IF(C16="", "", _xlfn.XLOOKUP(C16, Sheet1!A:A, Sheet1!B:B, ""))</f>
        <v/>
      </c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N35" t="str">
        <f>IF(C35="", "", _xlfn.XLOOKUP(C35, Sheet1!A:A, Sheet1!B:B, ""))</f>
        <v/>
      </c>
    </row>
    <row r="36" spans="6:15" x14ac:dyDescent="0.25">
      <c r="F36" s="2"/>
      <c r="H36" s="2"/>
      <c r="I36" s="2"/>
      <c r="J36" s="3"/>
      <c r="N36" t="str">
        <f>IF(C36="", "", _xlfn.XLOOKUP(C36, Sheet1!A:A, Sheet1!B:B,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conditionalFormatting sqref="Q2:Q100">
    <cfRule type="expression" dxfId="5" priority="1" stopIfTrue="1">
      <formula>AND($Q2&lt;&gt;$B2, $Q2&lt;&gt;"UKN", $Q2&lt;&gt;"", $B2&lt;&gt;"")</formula>
    </cfRule>
    <cfRule type="expression" dxfId="4" priority="2">
      <formula>$Q2="UKN"</formula>
    </cfRule>
    <cfRule type="expression" dxfId="3" priority="3" stopIfTrue="1">
      <formula>AND($Q2=$B2, $Q2&lt;&gt;"", $B2&lt;&gt;"")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AF79-999B-48C9-8AAD-B4913AEC6A18}">
  <dimension ref="A1:Y38"/>
  <sheetViews>
    <sheetView workbookViewId="0">
      <selection activeCell="W6" sqref="W6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11.7109375" bestFit="1" customWidth="1"/>
    <col min="22" max="22" width="11.425781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52</v>
      </c>
      <c r="B2" t="s">
        <v>97</v>
      </c>
      <c r="C2">
        <v>48</v>
      </c>
      <c r="D2">
        <v>201237</v>
      </c>
      <c r="E2">
        <v>53</v>
      </c>
      <c r="F2" s="5">
        <v>115.4</v>
      </c>
      <c r="G2" s="6">
        <v>130.80000000000001</v>
      </c>
      <c r="H2" s="5">
        <v>93.1</v>
      </c>
      <c r="I2" s="5">
        <v>41</v>
      </c>
      <c r="J2" s="7">
        <v>69</v>
      </c>
      <c r="K2" t="s">
        <v>132</v>
      </c>
      <c r="N2" t="str">
        <f>IF(C2="", "", _xlfn.XLOOKUP(C2, Sheet1!A:A, Sheet1!B:B, ""))</f>
        <v>3DD.003E185F64</v>
      </c>
      <c r="O2" t="str">
        <f>IF(D2="", "", _xlfn.XLOOKUP(D2, Sheet1!F:F, Sheet1!E:E, ""))</f>
        <v>A69-2801-201237</v>
      </c>
      <c r="P2">
        <f>IF(OR(I2="",H2=""),"",I2/H2)</f>
        <v>0.44038668098818479</v>
      </c>
      <c r="Q2" t="str">
        <f>IF(P2="", "UKN", IF(P2&lt;0.55, "AST", IF(P2&gt;0.62, "SNS", "UKN")))</f>
        <v>AST</v>
      </c>
      <c r="R2" t="s">
        <v>136</v>
      </c>
      <c r="T2" s="1">
        <v>46252</v>
      </c>
      <c r="U2" t="s">
        <v>145</v>
      </c>
      <c r="V2" t="s">
        <v>146</v>
      </c>
      <c r="W2">
        <v>514494</v>
      </c>
      <c r="X2">
        <v>4948116</v>
      </c>
      <c r="Y2" t="s">
        <v>166</v>
      </c>
    </row>
    <row r="3" spans="1:25" x14ac:dyDescent="0.25">
      <c r="A3">
        <v>53</v>
      </c>
      <c r="B3" t="s">
        <v>97</v>
      </c>
      <c r="C3" t="s">
        <v>134</v>
      </c>
      <c r="D3">
        <v>201249</v>
      </c>
      <c r="E3">
        <v>66</v>
      </c>
      <c r="F3" s="2">
        <v>176.2</v>
      </c>
      <c r="G3">
        <v>210</v>
      </c>
      <c r="H3" s="8">
        <v>176</v>
      </c>
      <c r="I3" s="2">
        <v>69</v>
      </c>
      <c r="J3" s="3">
        <v>112</v>
      </c>
      <c r="K3" t="s">
        <v>131</v>
      </c>
      <c r="L3" t="s">
        <v>163</v>
      </c>
      <c r="N3" t="s">
        <v>164</v>
      </c>
      <c r="O3" t="str">
        <f>IF(D3="", "", _xlfn.XLOOKUP(D3, Sheet1!F:F, Sheet1!E:E, ""))</f>
        <v>A69-2801-201249</v>
      </c>
      <c r="P3">
        <f t="shared" ref="P3:P13" si="0">IF(OR(I3="",H3=""),"",I3/H3)</f>
        <v>0.39204545454545453</v>
      </c>
      <c r="Q3" t="str">
        <f t="shared" ref="Q3:Q13" si="1">IF(P3="", "UKN", IF(P3&lt;0.55, "AST", IF(P3&gt;0.62, "SNS", "UKN")))</f>
        <v>AST</v>
      </c>
      <c r="R3" t="s">
        <v>136</v>
      </c>
    </row>
    <row r="4" spans="1:25" x14ac:dyDescent="0.25">
      <c r="A4">
        <v>54</v>
      </c>
      <c r="B4" t="s">
        <v>97</v>
      </c>
      <c r="C4">
        <v>49</v>
      </c>
      <c r="D4">
        <v>201248</v>
      </c>
      <c r="E4">
        <v>70</v>
      </c>
      <c r="F4" s="2">
        <v>102.6</v>
      </c>
      <c r="G4">
        <v>116.8</v>
      </c>
      <c r="H4" s="8">
        <v>81</v>
      </c>
      <c r="I4" s="2">
        <v>41</v>
      </c>
      <c r="J4" s="3">
        <v>58</v>
      </c>
      <c r="K4" t="s">
        <v>132</v>
      </c>
      <c r="N4" t="str">
        <f>IF(C4="", "", _xlfn.XLOOKUP(C4, Sheet1!A:A, Sheet1!B:B, ""))</f>
        <v>3DD.003E185F5A</v>
      </c>
      <c r="O4" t="str">
        <f>IF(D4="", "", _xlfn.XLOOKUP(D4, Sheet1!F:F, Sheet1!E:E, ""))</f>
        <v>A69-2801-201248</v>
      </c>
      <c r="P4">
        <f t="shared" si="0"/>
        <v>0.50617283950617287</v>
      </c>
      <c r="Q4" t="str">
        <f t="shared" si="1"/>
        <v>AST</v>
      </c>
      <c r="R4" t="s">
        <v>136</v>
      </c>
    </row>
    <row r="5" spans="1:25" x14ac:dyDescent="0.25">
      <c r="A5">
        <v>55</v>
      </c>
      <c r="B5" t="s">
        <v>97</v>
      </c>
      <c r="C5">
        <v>50</v>
      </c>
      <c r="D5">
        <v>201253</v>
      </c>
      <c r="E5">
        <v>79</v>
      </c>
      <c r="F5" s="2">
        <v>109.4</v>
      </c>
      <c r="G5">
        <v>120.2</v>
      </c>
      <c r="H5" s="8">
        <v>92</v>
      </c>
      <c r="I5" s="2">
        <v>42</v>
      </c>
      <c r="J5" s="3">
        <v>63</v>
      </c>
      <c r="K5" t="s">
        <v>132</v>
      </c>
      <c r="N5" t="str">
        <f>IF(C5="", "", _xlfn.XLOOKUP(C5, Sheet1!A:A, Sheet1!B:B, ""))</f>
        <v>3DD.003E185F39</v>
      </c>
      <c r="O5" t="str">
        <f>IF(D5="", "", _xlfn.XLOOKUP(D5, Sheet1!F:F, Sheet1!E:E, ""))</f>
        <v>A69-2801-201253</v>
      </c>
      <c r="P5">
        <f t="shared" si="0"/>
        <v>0.45652173913043476</v>
      </c>
      <c r="Q5" t="str">
        <f t="shared" si="1"/>
        <v>AST</v>
      </c>
      <c r="R5" t="s">
        <v>136</v>
      </c>
    </row>
    <row r="6" spans="1:25" x14ac:dyDescent="0.25">
      <c r="A6">
        <v>56</v>
      </c>
      <c r="B6" t="s">
        <v>97</v>
      </c>
      <c r="C6">
        <v>51</v>
      </c>
      <c r="D6">
        <v>201250</v>
      </c>
      <c r="E6">
        <v>64</v>
      </c>
      <c r="F6" s="2">
        <v>120</v>
      </c>
      <c r="G6">
        <v>143.1</v>
      </c>
      <c r="H6" s="8">
        <v>96</v>
      </c>
      <c r="I6" s="2">
        <v>48</v>
      </c>
      <c r="J6" s="3">
        <v>73</v>
      </c>
      <c r="K6" t="s">
        <v>132</v>
      </c>
      <c r="N6" t="str">
        <f>IF(C6="", "", _xlfn.XLOOKUP(C6, Sheet1!A:A, Sheet1!B:B, ""))</f>
        <v>3DD.003E185F57</v>
      </c>
      <c r="O6" t="str">
        <f>IF(D6="", "", _xlfn.XLOOKUP(D6, Sheet1!F:F, Sheet1!E:E, ""))</f>
        <v>A69-2801-201250</v>
      </c>
      <c r="P6">
        <f t="shared" si="0"/>
        <v>0.5</v>
      </c>
      <c r="Q6" t="str">
        <f t="shared" si="1"/>
        <v>AST</v>
      </c>
      <c r="R6" t="s">
        <v>136</v>
      </c>
    </row>
    <row r="7" spans="1:25" x14ac:dyDescent="0.25">
      <c r="A7">
        <v>57</v>
      </c>
      <c r="B7" t="s">
        <v>97</v>
      </c>
      <c r="C7">
        <v>52</v>
      </c>
      <c r="E7">
        <v>69</v>
      </c>
      <c r="F7" s="2">
        <v>92.2</v>
      </c>
      <c r="G7">
        <v>108.8</v>
      </c>
      <c r="H7" s="8">
        <v>75.2</v>
      </c>
      <c r="I7" s="2">
        <v>33.299999999999997</v>
      </c>
      <c r="J7" s="3">
        <v>49.2</v>
      </c>
      <c r="K7" t="s">
        <v>132</v>
      </c>
      <c r="N7" t="str">
        <f>IF(C7="", "", _xlfn.XLOOKUP(C7, Sheet1!A:A, Sheet1!B:B, ""))</f>
        <v>3DD.003E185F56</v>
      </c>
      <c r="O7" t="str">
        <f>IF(D7="", "", _xlfn.XLOOKUP(D7, Sheet1!F:F, Sheet1!E:E, ""))</f>
        <v/>
      </c>
      <c r="P7">
        <f t="shared" si="0"/>
        <v>0.44281914893617014</v>
      </c>
      <c r="Q7" t="str">
        <f t="shared" si="1"/>
        <v>AST</v>
      </c>
      <c r="R7" t="s">
        <v>136</v>
      </c>
    </row>
    <row r="8" spans="1:25" x14ac:dyDescent="0.25">
      <c r="A8">
        <v>58</v>
      </c>
      <c r="B8" t="s">
        <v>97</v>
      </c>
      <c r="C8">
        <v>53</v>
      </c>
      <c r="E8">
        <v>62</v>
      </c>
      <c r="F8" s="2">
        <v>97.8</v>
      </c>
      <c r="G8">
        <v>105.2</v>
      </c>
      <c r="H8" s="9">
        <v>78.2</v>
      </c>
      <c r="I8" s="2">
        <v>37.4</v>
      </c>
      <c r="J8" s="3">
        <v>58.2</v>
      </c>
      <c r="K8" t="s">
        <v>132</v>
      </c>
      <c r="N8" t="str">
        <f>IF(C8="", "", _xlfn.XLOOKUP(C8, Sheet1!A:A, Sheet1!B:B, ""))</f>
        <v>3DD.003E185F79</v>
      </c>
      <c r="O8" t="str">
        <f>IF(D8="", "", _xlfn.XLOOKUP(D8, Sheet1!F:F, Sheet1!E:E, ""))</f>
        <v/>
      </c>
      <c r="P8">
        <f t="shared" si="0"/>
        <v>0.47826086956521735</v>
      </c>
      <c r="Q8" t="str">
        <f t="shared" si="1"/>
        <v>AST</v>
      </c>
      <c r="R8" t="s">
        <v>136</v>
      </c>
    </row>
    <row r="9" spans="1:25" x14ac:dyDescent="0.25">
      <c r="A9">
        <v>59</v>
      </c>
      <c r="B9" t="s">
        <v>97</v>
      </c>
      <c r="C9">
        <v>54</v>
      </c>
      <c r="E9">
        <v>67</v>
      </c>
      <c r="F9" s="2">
        <v>100.4</v>
      </c>
      <c r="G9">
        <v>120</v>
      </c>
      <c r="H9" s="2">
        <v>81.2</v>
      </c>
      <c r="I9" s="2">
        <v>37.299999999999997</v>
      </c>
      <c r="J9" s="3">
        <v>62.3</v>
      </c>
      <c r="K9" t="s">
        <v>132</v>
      </c>
      <c r="N9" t="str">
        <f>IF(C9="", "", _xlfn.XLOOKUP(C9, Sheet1!A:A, Sheet1!B:B, ""))</f>
        <v>3DD.003E185F5D</v>
      </c>
      <c r="O9" t="str">
        <f>IF(D9="", "", _xlfn.XLOOKUP(D9, Sheet1!F:F, Sheet1!E:E, ""))</f>
        <v/>
      </c>
      <c r="P9">
        <f t="shared" si="0"/>
        <v>0.45935960591133002</v>
      </c>
      <c r="Q9" t="str">
        <f t="shared" si="1"/>
        <v>AST</v>
      </c>
      <c r="R9" t="s">
        <v>136</v>
      </c>
    </row>
    <row r="10" spans="1:25" x14ac:dyDescent="0.25">
      <c r="A10">
        <v>60</v>
      </c>
      <c r="B10" t="s">
        <v>97</v>
      </c>
      <c r="C10">
        <v>55</v>
      </c>
      <c r="E10">
        <v>61</v>
      </c>
      <c r="F10" s="2">
        <v>88</v>
      </c>
      <c r="G10">
        <v>103</v>
      </c>
      <c r="H10" s="2">
        <v>70.8</v>
      </c>
      <c r="I10" s="2">
        <v>35.1</v>
      </c>
      <c r="J10" s="3">
        <v>50.3</v>
      </c>
      <c r="K10" t="s">
        <v>132</v>
      </c>
      <c r="N10" t="str">
        <f>IF(C10="", "", _xlfn.XLOOKUP(C10, Sheet1!A:A, Sheet1!B:B, ""))</f>
        <v>3DD.003E185F4E</v>
      </c>
      <c r="O10" t="str">
        <f>IF(D10="", "", _xlfn.XLOOKUP(D10, Sheet1!F:F, Sheet1!E:E, ""))</f>
        <v/>
      </c>
      <c r="P10">
        <f t="shared" si="0"/>
        <v>0.49576271186440685</v>
      </c>
      <c r="Q10" t="str">
        <f t="shared" si="1"/>
        <v>AST</v>
      </c>
      <c r="R10" t="s">
        <v>136</v>
      </c>
    </row>
    <row r="11" spans="1:25" x14ac:dyDescent="0.25">
      <c r="A11">
        <v>61</v>
      </c>
      <c r="B11" t="s">
        <v>97</v>
      </c>
      <c r="C11">
        <v>56</v>
      </c>
      <c r="E11">
        <v>77</v>
      </c>
      <c r="F11" s="2">
        <v>93.6</v>
      </c>
      <c r="G11">
        <v>109.2</v>
      </c>
      <c r="H11" s="2">
        <v>71</v>
      </c>
      <c r="I11" s="2">
        <v>33.9</v>
      </c>
      <c r="J11" s="3">
        <v>54.7</v>
      </c>
      <c r="K11" t="s">
        <v>132</v>
      </c>
      <c r="N11" t="str">
        <f>IF(C11="", "", _xlfn.XLOOKUP(C11, Sheet1!A:A, Sheet1!B:B, ""))</f>
        <v>3DD.003E185F46</v>
      </c>
      <c r="O11" t="str">
        <f>IF(D11="", "", _xlfn.XLOOKUP(D11, Sheet1!F:F, Sheet1!E:E, ""))</f>
        <v/>
      </c>
      <c r="P11">
        <f t="shared" si="0"/>
        <v>0.47746478873239434</v>
      </c>
      <c r="Q11" t="str">
        <f t="shared" si="1"/>
        <v>AST</v>
      </c>
      <c r="R11" t="s">
        <v>136</v>
      </c>
    </row>
    <row r="12" spans="1:25" x14ac:dyDescent="0.25">
      <c r="A12">
        <v>62</v>
      </c>
      <c r="B12" t="s">
        <v>97</v>
      </c>
      <c r="C12">
        <v>58</v>
      </c>
      <c r="E12">
        <v>65</v>
      </c>
      <c r="F12" s="2">
        <v>88.8</v>
      </c>
      <c r="G12">
        <v>104.4</v>
      </c>
      <c r="H12" s="2">
        <v>69.2</v>
      </c>
      <c r="I12" s="2">
        <v>32.700000000000003</v>
      </c>
      <c r="J12" s="3">
        <v>53.6</v>
      </c>
      <c r="K12" t="s">
        <v>132</v>
      </c>
      <c r="N12" t="str">
        <f>IF(C12="", "", _xlfn.XLOOKUP(C12, Sheet1!A:A, Sheet1!B:B, ""))</f>
        <v>3DD.003E185F80</v>
      </c>
      <c r="O12" t="str">
        <f>IF(D12="", "", _xlfn.XLOOKUP(D12, Sheet1!F:F, Sheet1!E:E, ""))</f>
        <v/>
      </c>
      <c r="P12">
        <f t="shared" si="0"/>
        <v>0.4725433526011561</v>
      </c>
      <c r="Q12" t="str">
        <f t="shared" si="1"/>
        <v>AST</v>
      </c>
      <c r="R12" t="s">
        <v>136</v>
      </c>
    </row>
    <row r="13" spans="1:25" x14ac:dyDescent="0.25">
      <c r="A13">
        <v>63</v>
      </c>
      <c r="B13" t="s">
        <v>97</v>
      </c>
      <c r="C13" t="s">
        <v>134</v>
      </c>
      <c r="E13">
        <v>78</v>
      </c>
      <c r="F13" s="2">
        <v>90.4</v>
      </c>
      <c r="G13">
        <v>104.6</v>
      </c>
      <c r="H13" s="2">
        <v>72.900000000000006</v>
      </c>
      <c r="I13" s="2">
        <v>35.1</v>
      </c>
      <c r="J13" s="3">
        <v>52.4</v>
      </c>
      <c r="K13" t="s">
        <v>131</v>
      </c>
      <c r="L13" t="s">
        <v>165</v>
      </c>
      <c r="N13" t="s">
        <v>39</v>
      </c>
      <c r="O13" t="str">
        <f>IF(D13="", "", _xlfn.XLOOKUP(D13, Sheet1!F:F, Sheet1!E:E, ""))</f>
        <v/>
      </c>
      <c r="P13">
        <f t="shared" si="0"/>
        <v>0.48148148148148145</v>
      </c>
      <c r="Q13" t="str">
        <f t="shared" si="1"/>
        <v>AST</v>
      </c>
      <c r="R13" t="s">
        <v>136</v>
      </c>
    </row>
    <row r="14" spans="1:25" x14ac:dyDescent="0.25">
      <c r="F14" s="2"/>
      <c r="H14" s="2"/>
      <c r="I14" s="2"/>
      <c r="J14" s="3"/>
      <c r="N14" t="str">
        <f>IF(C14="", "", _xlfn.XLOOKUP(C14, Sheet1!A:A, Sheet1!B:B, ""))</f>
        <v/>
      </c>
      <c r="O14" t="str">
        <f>IF(D14="", "", _xlfn.XLOOKUP(D14, Sheet1!F:F, Sheet1!E:E, ""))</f>
        <v/>
      </c>
    </row>
    <row r="15" spans="1:25" x14ac:dyDescent="0.25">
      <c r="F15" s="2"/>
      <c r="H15" s="2"/>
      <c r="I15" s="2"/>
      <c r="J15" s="3"/>
      <c r="N15" t="str">
        <f>IF(C15="", "", _xlfn.XLOOKUP(C15, Sheet1!A:A, Sheet1!B:B, ""))</f>
        <v/>
      </c>
      <c r="O15" t="str">
        <f>IF(D15="", "", _xlfn.XLOOKUP(D15, Sheet1!F:F, Sheet1!E:E, ""))</f>
        <v/>
      </c>
    </row>
    <row r="16" spans="1:25" x14ac:dyDescent="0.25">
      <c r="F16" s="2"/>
      <c r="H16" s="2"/>
      <c r="I16" s="2"/>
      <c r="J16" s="3"/>
      <c r="N16" t="str">
        <f>IF(C16="", "", _xlfn.XLOOKUP(C16, Sheet1!A:A, Sheet1!B:B, ""))</f>
        <v/>
      </c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N35" t="str">
        <f>IF(C35="", "", _xlfn.XLOOKUP(C35, Sheet1!A:A, Sheet1!B:B, ""))</f>
        <v/>
      </c>
    </row>
    <row r="36" spans="6:15" x14ac:dyDescent="0.25">
      <c r="F36" s="2"/>
      <c r="H36" s="2"/>
      <c r="I36" s="2"/>
      <c r="J36" s="3"/>
      <c r="N36" t="str">
        <f>IF(C36="", "", _xlfn.XLOOKUP(C36, Sheet1!A:A, Sheet1!B:B,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conditionalFormatting sqref="Q2:Q100">
    <cfRule type="expression" dxfId="2" priority="1" stopIfTrue="1">
      <formula>AND($Q2&lt;&gt;$B2, $Q2&lt;&gt;"UKN", $Q2&lt;&gt;"", $B2&lt;&gt;"")</formula>
    </cfRule>
    <cfRule type="expression" dxfId="1" priority="2">
      <formula>$Q2="UKN"</formula>
    </cfRule>
    <cfRule type="expression" dxfId="0" priority="3" stopIfTrue="1">
      <formula>AND($Q2=$B2, $Q2&lt;&gt;"", $B2&lt;&gt;"")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Trip</vt:lpstr>
      <vt:lpstr>Sheet1</vt:lpstr>
      <vt:lpstr>Sheet1 (2)</vt:lpstr>
      <vt:lpstr>Sheet2</vt:lpstr>
      <vt:lpstr>Trip(1)</vt:lpstr>
      <vt:lpstr>Trip (2)</vt:lpstr>
      <vt:lpstr>Trip (3)</vt:lpstr>
      <vt:lpstr>Trip (4)</vt:lpstr>
      <vt:lpstr>Trip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Figueroa</dc:creator>
  <cp:lastModifiedBy>Sander Samuel Elliott</cp:lastModifiedBy>
  <cp:lastPrinted>2025-07-28T19:56:53Z</cp:lastPrinted>
  <dcterms:created xsi:type="dcterms:W3CDTF">2025-07-28T17:57:50Z</dcterms:created>
  <dcterms:modified xsi:type="dcterms:W3CDTF">2025-12-18T18:24:42Z</dcterms:modified>
</cp:coreProperties>
</file>